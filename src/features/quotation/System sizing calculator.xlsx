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urn of investment " sheetId="1" r:id="rId5"/>
    <sheet state="visible" name="Quotation" sheetId="2" r:id="rId6"/>
    <sheet state="visible" name="On-grid System sizing calculato" sheetId="3" r:id="rId7"/>
    <sheet state="visible" name="Commercial RoI " sheetId="4" r:id="rId8"/>
    <sheet state="visible" name="Commercial Quotation" sheetId="5" r:id="rId9"/>
    <sheet state="visible" name="Commercial_sizing" sheetId="6" r:id="rId10"/>
    <sheet state="visible" name="Hybrid system sizing calculator" sheetId="7" r:id="rId11"/>
    <sheet state="visible" name="DCDB &amp; ACDB" sheetId="8" r:id="rId12"/>
    <sheet state="visible" name="Battery sizing" sheetId="9" r:id="rId13"/>
    <sheet state="visible" name="Wiring " sheetId="10" r:id="rId14"/>
    <sheet state="visible" name="Missmatch loss " sheetId="11" r:id="rId15"/>
    <sheet state="visible" name="Enphase" sheetId="12" r:id="rId16"/>
  </sheets>
  <definedNames>
    <definedName hidden="1" localSheetId="6" name="_xlnm._FilterDatabase">'Hybrid system sizing calculator'!$B$45:$N$54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tc={79e7cb98-702e-4d47-a554-91dd4cd070a1}</author>
  </authors>
  <commentList>
    <comment authorId="0" xr:uid="{79e7cb98-702e-4d47-a554-91dd4cd070a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Max energy usage for This month?
</t>
      </text>
    </comment>
  </commentList>
</comments>
</file>

<file path=xl/sharedStrings.xml><?xml version="1.0" encoding="utf-8"?>
<sst xmlns="http://schemas.openxmlformats.org/spreadsheetml/2006/main" count="1307" uniqueCount="459">
  <si>
    <t>System Size(KW)</t>
  </si>
  <si>
    <t>Slab Consumption &lt; 500 kWh</t>
  </si>
  <si>
    <t>Slab Consumption &gt; 500 kWh</t>
  </si>
  <si>
    <t>FROM</t>
  </si>
  <si>
    <t>TO</t>
  </si>
  <si>
    <t xml:space="preserve">Rate </t>
  </si>
  <si>
    <t xml:space="preserve">kWh consumed </t>
  </si>
  <si>
    <t>Slab rate</t>
  </si>
  <si>
    <t xml:space="preserve">System cost </t>
  </si>
  <si>
    <t>Daily generation(KW)</t>
  </si>
  <si>
    <t xml:space="preserve">Subsidy </t>
  </si>
  <si>
    <t>Annual Generation (KW)</t>
  </si>
  <si>
    <t>Net Investment</t>
  </si>
  <si>
    <t xml:space="preserve">Bi Monthly Generation </t>
  </si>
  <si>
    <t>Bi Monthly Saving (Rs)</t>
  </si>
  <si>
    <t>Tariff Escalation(%)</t>
  </si>
  <si>
    <t xml:space="preserve">Annual Saving </t>
  </si>
  <si>
    <t xml:space="preserve"> </t>
  </si>
  <si>
    <t>Expected bill Rs. =</t>
  </si>
  <si>
    <t xml:space="preserve">Payback years </t>
  </si>
  <si>
    <t>Slab cost per kW =</t>
  </si>
  <si>
    <t>ROI % p.a.</t>
  </si>
  <si>
    <t>Bill cost per kW =</t>
  </si>
  <si>
    <t>Bill value Rs. =</t>
  </si>
  <si>
    <t>Inverter cost =</t>
  </si>
  <si>
    <t>kWh consumed =</t>
  </si>
  <si>
    <t>Avg. cost per kW =</t>
  </si>
  <si>
    <t>IF NOT SOLAR</t>
  </si>
  <si>
    <t>Daily usage(KW)</t>
  </si>
  <si>
    <t xml:space="preserve">Slab rate </t>
  </si>
  <si>
    <t>Annual Usage (KW)</t>
  </si>
  <si>
    <t xml:space="preserve">Bi Monthly Usage </t>
  </si>
  <si>
    <t xml:space="preserve">Bi Monthly Expense </t>
  </si>
  <si>
    <t>Annual Expense</t>
  </si>
  <si>
    <t>RENTAL</t>
  </si>
  <si>
    <t>Payback period (years)</t>
  </si>
  <si>
    <t>(years, months)</t>
  </si>
  <si>
    <t>Tarif increase =</t>
  </si>
  <si>
    <t xml:space="preserve">Years </t>
  </si>
  <si>
    <t>Yearly Bill without solar (with tarif increase)</t>
  </si>
  <si>
    <t xml:space="preserve">Yearly Bill with solar </t>
  </si>
  <si>
    <t>Bi-monthyl bill without solar</t>
  </si>
  <si>
    <t>Bi-monthyl bill with solar</t>
  </si>
  <si>
    <t xml:space="preserve">Yearly savings </t>
  </si>
  <si>
    <t>Costs without solar
(accumulated)</t>
  </si>
  <si>
    <t>Cost of going solar (accumulated)</t>
  </si>
  <si>
    <t xml:space="preserve">Break Even </t>
  </si>
  <si>
    <t>Yearly savings (Rental)</t>
  </si>
  <si>
    <t>Break Even (Rental)</t>
  </si>
  <si>
    <t>Rs. per unit (for tenant) =</t>
  </si>
  <si>
    <t>Units consumed (yearly) =</t>
  </si>
  <si>
    <t>Estimated bill for tenant (yearly) =</t>
  </si>
  <si>
    <t xml:space="preserve">Estimated bill for renter (yearly) = </t>
  </si>
  <si>
    <t xml:space="preserve">Total </t>
  </si>
  <si>
    <t>Investment savings &amp; Breakeven year</t>
  </si>
  <si>
    <t>Cumulative Cost of NOT GOING vs GOING SOLAR</t>
  </si>
  <si>
    <t>Bi-monthly bill of GOING SOLAR vs NOT</t>
  </si>
  <si>
    <t>System size =</t>
  </si>
  <si>
    <t>Items</t>
  </si>
  <si>
    <t>Total unit</t>
  </si>
  <si>
    <t>UoM</t>
  </si>
  <si>
    <t>Price per unit</t>
  </si>
  <si>
    <t>BoM Cost</t>
  </si>
  <si>
    <t>Margin</t>
  </si>
  <si>
    <t>Basic Cost</t>
  </si>
  <si>
    <t>GST %</t>
  </si>
  <si>
    <t>Final Cost</t>
  </si>
  <si>
    <t>Cost per panel</t>
  </si>
  <si>
    <t>Difference</t>
  </si>
  <si>
    <t>Adani</t>
  </si>
  <si>
    <t>Panels TOPCon DCR</t>
  </si>
  <si>
    <t>nos</t>
  </si>
  <si>
    <t>Renesys</t>
  </si>
  <si>
    <t>Panels TOPCon non-DCR</t>
  </si>
  <si>
    <t>Deye</t>
  </si>
  <si>
    <t>Inverter (On-Grid)</t>
  </si>
  <si>
    <t>12kW (3 ph)</t>
  </si>
  <si>
    <t>DCDB</t>
  </si>
  <si>
    <t>ACDB</t>
  </si>
  <si>
    <t>Mounting structure</t>
  </si>
  <si>
    <t>LS</t>
  </si>
  <si>
    <t>Earthing rod</t>
  </si>
  <si>
    <t>2m, dia?</t>
  </si>
  <si>
    <t>Lightning arrestor</t>
  </si>
  <si>
    <t>1m, dia?</t>
  </si>
  <si>
    <t>MC4 connectors</t>
  </si>
  <si>
    <t xml:space="preserve">Pins &amp; other accessories </t>
  </si>
  <si>
    <t>Design / Installation / Logistics</t>
  </si>
  <si>
    <t>360watts</t>
  </si>
  <si>
    <t>IoT hub for energy automation</t>
  </si>
  <si>
    <t>Wiring</t>
  </si>
  <si>
    <t>Subsidy PM Surya Ghar</t>
  </si>
  <si>
    <t>DCR</t>
  </si>
  <si>
    <t>non-DCR</t>
  </si>
  <si>
    <t>ADDITIONAL COST:</t>
  </si>
  <si>
    <t>meter</t>
  </si>
  <si>
    <t>cost</t>
  </si>
  <si>
    <t>wiring total cost</t>
  </si>
  <si>
    <t>DC cable (Panels to DCDB/Inverter)</t>
  </si>
  <si>
    <t>6 sq. mm</t>
  </si>
  <si>
    <t>AC cable (Inverter to ACDB)</t>
  </si>
  <si>
    <t>6 sq. mm 4-core</t>
  </si>
  <si>
    <t>AC cable</t>
  </si>
  <si>
    <t xml:space="preserve">4 sq mm </t>
  </si>
  <si>
    <t>~60/m</t>
  </si>
  <si>
    <t>Earthing cable</t>
  </si>
  <si>
    <t>DC (6 sq. mm)</t>
  </si>
  <si>
    <t>~66/m</t>
  </si>
  <si>
    <t>DC (10 sq. mm)</t>
  </si>
  <si>
    <t>~139/m</t>
  </si>
  <si>
    <t>AC (6 sq. mm)</t>
  </si>
  <si>
    <t>~100/m</t>
  </si>
  <si>
    <t>AC (10 sq. mm)</t>
  </si>
  <si>
    <t>~150/m</t>
  </si>
  <si>
    <t>TOTAL</t>
  </si>
  <si>
    <t>QUOTATION</t>
  </si>
  <si>
    <r>
      <rPr>
        <rFont val="Arial"/>
        <b/>
        <color theme="1"/>
      </rPr>
      <t xml:space="preserve">MATTERLESS TECHNOLOGIES OPC PRIVATE LIMITED
</t>
    </r>
    <r>
      <rPr>
        <rFont val="Arial"/>
        <color theme="1"/>
      </rPr>
      <t>FORGE FACTORY, KCT TECHPARK, 03 ATHIPALAYAM ROAD, COIMBATORE - 641049
GST: 33AATCM6353J1ZZ
PH: 9087610051</t>
    </r>
  </si>
  <si>
    <t>To</t>
  </si>
  <si>
    <t>14.03.2026</t>
  </si>
  <si>
    <t>Shakthi Electricals</t>
  </si>
  <si>
    <t>Avinashi</t>
  </si>
  <si>
    <t>Details</t>
  </si>
  <si>
    <t>Panels (Adani TOPCon / 9 panels)</t>
  </si>
  <si>
    <t>615Wp</t>
  </si>
  <si>
    <t>Inverter (1-ph On-Grid)</t>
  </si>
  <si>
    <t>5kW (1P)</t>
  </si>
  <si>
    <t>1 nos</t>
  </si>
  <si>
    <t>Mounting structure (GI)</t>
  </si>
  <si>
    <t>3 nos</t>
  </si>
  <si>
    <t>6 nos</t>
  </si>
  <si>
    <t>Design &amp; Installation</t>
  </si>
  <si>
    <t>TOTAL PRICE (incl. GST)</t>
  </si>
  <si>
    <t>ADDITIONAL COST (to be assessed after site visit) :</t>
  </si>
  <si>
    <t>DC cable</t>
  </si>
  <si>
    <t>4sq mm AC cable</t>
  </si>
  <si>
    <t>CUSTOMER SCOPE:</t>
  </si>
  <si>
    <t>Electrical works</t>
  </si>
  <si>
    <t>Civil works</t>
  </si>
  <si>
    <t>TANGEDCO fee</t>
  </si>
  <si>
    <r>
      <rPr>
        <rFont val="Arial"/>
        <b/>
        <color theme="1"/>
      </rPr>
      <t xml:space="preserve">MATTERLESS TECHNOLOGIES OPC PRIVATE LIMITED
</t>
    </r>
    <r>
      <rPr>
        <rFont val="Arial"/>
        <color theme="1"/>
      </rPr>
      <t>FORGE FACTORY, KCT TECHPARK, 03 ATHIPALAYAM ROAD, COIMBATORE - 641049
GST: 33AATCM6353J1ZZ
Ph: 9087610051</t>
    </r>
  </si>
  <si>
    <r>
      <rPr>
        <rFont val="Arial"/>
        <b/>
        <color theme="1"/>
      </rPr>
      <t xml:space="preserve">MATTERLESS TECHNOLOGIES OPC PRIVATE LIMITED
</t>
    </r>
    <r>
      <rPr>
        <rFont val="Arial"/>
        <color theme="1"/>
      </rPr>
      <t>FORGE FACTORY, KCT TECHPARK, 03 ATHIPALAYAM ROAD, COIMBATORE - 641049
GST: 33AATCM6353J1ZZ
Ph: 9087610051</t>
    </r>
  </si>
  <si>
    <r>
      <rPr>
        <rFont val="Arial"/>
        <b/>
        <color theme="1"/>
      </rPr>
      <t xml:space="preserve">MATTERLESS TECHNOLOGIES OPC PRIVATE LIMITED
</t>
    </r>
    <r>
      <rPr>
        <rFont val="Arial"/>
        <color theme="1"/>
      </rPr>
      <t>FORGE FACTORY, KCT TECHPARK, 03 ATHIPALAYAM ROAD, COIMBATORE - 641049
GST: 33AATCM6353J1ZZ
Ph: 9087610051</t>
    </r>
  </si>
  <si>
    <t>23.03.2026</t>
  </si>
  <si>
    <t>Panels (TOPCon / 16 panels)</t>
  </si>
  <si>
    <t>Panels (TOPCon / 3 panels)</t>
  </si>
  <si>
    <t>Panels (TOPCon / 4 panels)</t>
  </si>
  <si>
    <t>Inverter (3-ph On-Grid)</t>
  </si>
  <si>
    <t>10kW</t>
  </si>
  <si>
    <t>2kW</t>
  </si>
  <si>
    <t>7 nos</t>
  </si>
  <si>
    <t>2 nos</t>
  </si>
  <si>
    <t>14 nos</t>
  </si>
  <si>
    <t>4 nos</t>
  </si>
  <si>
    <r>
      <rPr>
        <rFont val="Arial"/>
        <b/>
        <color theme="1"/>
      </rPr>
      <t xml:space="preserve">MATTERLESS TECHNOLOGIES OPC PRIVATE LIMITED
</t>
    </r>
    <r>
      <rPr>
        <rFont val="Arial"/>
        <color theme="1"/>
      </rPr>
      <t>FORGE FACTORY, KCT TECHPARK, 03 ATHIPALAYAM ROAD, COIMBATORE - 641049
GST: 33AATCM6353J1ZZ
Ph: 9087610051</t>
    </r>
  </si>
  <si>
    <t>08.04.2026</t>
  </si>
  <si>
    <t>Panels (Warree TOPCon)</t>
  </si>
  <si>
    <t>16 panels</t>
  </si>
  <si>
    <t>Panels (Adani TOPCon)</t>
  </si>
  <si>
    <t>18 panels</t>
  </si>
  <si>
    <t>Inverter (Deye 1-ph On-Grid)</t>
  </si>
  <si>
    <t>10kW (1 ph)</t>
  </si>
  <si>
    <t>15 nos</t>
  </si>
  <si>
    <t>60k+</t>
  </si>
  <si>
    <t>EB</t>
  </si>
  <si>
    <t>SOLAR</t>
  </si>
  <si>
    <t>To bill Rs. / kWh =</t>
  </si>
  <si>
    <t>Irradiance</t>
  </si>
  <si>
    <t xml:space="preserve">Months </t>
  </si>
  <si>
    <t>(2025-2026) kWh</t>
  </si>
  <si>
    <t>(2025-2026) Bill</t>
  </si>
  <si>
    <t>2024-2025</t>
  </si>
  <si>
    <t>Avg Rs. /kWh</t>
  </si>
  <si>
    <t>Daily kWh</t>
  </si>
  <si>
    <t>2m kWh</t>
  </si>
  <si>
    <t>net import</t>
  </si>
  <si>
    <t>To bill</t>
  </si>
  <si>
    <t>Savings</t>
  </si>
  <si>
    <t>Parameters</t>
  </si>
  <si>
    <t>Normal System</t>
  </si>
  <si>
    <t>Future expansion</t>
  </si>
  <si>
    <t>EV alone</t>
  </si>
  <si>
    <t xml:space="preserve">units </t>
  </si>
  <si>
    <t>May</t>
  </si>
  <si>
    <t>Daily Consumption (AC)</t>
  </si>
  <si>
    <t>kWh</t>
  </si>
  <si>
    <t>April</t>
  </si>
  <si>
    <t>Energy Needed (AC)</t>
  </si>
  <si>
    <t>March</t>
  </si>
  <si>
    <t>Desired AC output (from inverter)</t>
  </si>
  <si>
    <t>kW</t>
  </si>
  <si>
    <t>February</t>
  </si>
  <si>
    <t>Power Factor (PF)</t>
  </si>
  <si>
    <t>January</t>
  </si>
  <si>
    <t>Required AC output (from inverter)</t>
  </si>
  <si>
    <t>kVA</t>
  </si>
  <si>
    <t>Reactive power (kVA) (i.e. useful energy) = Desired AC output / PF</t>
  </si>
  <si>
    <t>December</t>
  </si>
  <si>
    <t>Corresponding DC sizing</t>
  </si>
  <si>
    <t>DC/AC ratio = 1.25</t>
  </si>
  <si>
    <t>November</t>
  </si>
  <si>
    <t>October</t>
  </si>
  <si>
    <t>September</t>
  </si>
  <si>
    <t>August</t>
  </si>
  <si>
    <t>July</t>
  </si>
  <si>
    <t>Panels Age(Years)</t>
  </si>
  <si>
    <t>Expected Output N.S (KWh)</t>
  </si>
  <si>
    <t>Expected Output with EV (KWh)</t>
  </si>
  <si>
    <t>June</t>
  </si>
  <si>
    <t>Daily consumption (kWh) =</t>
  </si>
  <si>
    <r>
      <rPr>
        <rFont val="Arial"/>
        <b/>
        <color rgb="FF626E7A"/>
      </rPr>
      <t xml:space="preserve">QUESTIONS:
</t>
    </r>
    <r>
      <rPr>
        <rFont val="Arial"/>
        <color rgb="FF626E7A"/>
      </rPr>
      <t>1. Do you install new AC in the Mar/Apr 2025? --&gt; due to observed additional 300-600 units bi-monthly since last 6 bills</t>
    </r>
  </si>
  <si>
    <r>
      <rPr>
        <rFont val="Arial"/>
        <b/>
        <color rgb="FFFFFFFF"/>
        <u/>
      </rPr>
      <t xml:space="preserve">FUTURE PLANS:
</t>
    </r>
    <r>
      <rPr>
        <rFont val="Arial"/>
        <b/>
        <color rgb="FFFFFFFF"/>
      </rPr>
      <t xml:space="preserve">
</t>
    </r>
    <r>
      <rPr>
        <rFont val="Arial"/>
        <color rgb="FFFFFFFF"/>
      </rPr>
      <t>1. Plans to purchase EV car in next 12 to 24 months?
2. New appliances in next 12 months? Eg. Dishwasher, AC, etc.</t>
    </r>
  </si>
  <si>
    <t>w/o EV</t>
  </si>
  <si>
    <t>with EV</t>
  </si>
  <si>
    <t>Panel Wp</t>
  </si>
  <si>
    <t xml:space="preserve">No of panels </t>
  </si>
  <si>
    <t>Available inverter size (kW)</t>
  </si>
  <si>
    <t>Actual DC sizing (kW)</t>
  </si>
  <si>
    <t>Data needed</t>
  </si>
  <si>
    <t>Column 1</t>
  </si>
  <si>
    <t>Energy usage (units)</t>
  </si>
  <si>
    <t>Actual DC/AC ratio</t>
  </si>
  <si>
    <t>Average peak sun hour</t>
  </si>
  <si>
    <t xml:space="preserve">EV Brand name </t>
  </si>
  <si>
    <t>TATA Nexon</t>
  </si>
  <si>
    <t>Total system losses (%)</t>
  </si>
  <si>
    <t>Battery Capacity</t>
  </si>
  <si>
    <t xml:space="preserve">Battery Capacity Battery Capacity </t>
  </si>
  <si>
    <t>Derate factor (%)</t>
  </si>
  <si>
    <t xml:space="preserve">Full charging times per week </t>
  </si>
  <si>
    <t>Performance ratio</t>
  </si>
  <si>
    <t xml:space="preserve">Extra power needed(KWh) per day </t>
  </si>
  <si>
    <t>Fixed cost</t>
  </si>
  <si>
    <t>Waaree</t>
  </si>
  <si>
    <t>Panels TOPCon non-DCR (20kW)</t>
  </si>
  <si>
    <t>Solis</t>
  </si>
  <si>
    <t>25kW (3 ph)</t>
  </si>
  <si>
    <t>Inverter (Hybrid)</t>
  </si>
  <si>
    <t>20kW (3 ph)</t>
  </si>
  <si>
    <t>BESS</t>
  </si>
  <si>
    <t>16kWh</t>
  </si>
  <si>
    <t>100kWh</t>
  </si>
  <si>
    <t>Festa Solar</t>
  </si>
  <si>
    <t>Battery box</t>
  </si>
  <si>
    <t>HYBRID</t>
  </si>
  <si>
    <t>ON-GRID</t>
  </si>
  <si>
    <r>
      <rPr>
        <rFont val="Arial"/>
        <b/>
        <color theme="1"/>
      </rPr>
      <t xml:space="preserve">MATTERLESS TECHNOLOGIES OPC PRIVATE LIMITED
</t>
    </r>
    <r>
      <rPr>
        <rFont val="Arial"/>
        <color theme="1"/>
      </rPr>
      <t>FORGE FACTORY, KCT TECHPARK, 03 ATHIPALAYAM ROAD, COIMBATORE - 641049
GST: 33AATCM6353J1ZZ
PH: 9087610051</t>
    </r>
  </si>
  <si>
    <r>
      <rPr>
        <rFont val="Arial"/>
        <b/>
        <color theme="1"/>
      </rPr>
      <t xml:space="preserve">MATTERLESS TECHNOLOGIES OPC PRIVATE LIMITED
</t>
    </r>
    <r>
      <rPr>
        <rFont val="Arial"/>
        <color theme="1"/>
      </rPr>
      <t>FORGE FACTORY, KCT TECHPARK, 03 ATHIPALAYAM ROAD, COIMBATORE - 641049
GST: 33AATCM6353J1ZZ
Ph: 9087610051</t>
    </r>
  </si>
  <si>
    <r>
      <rPr>
        <rFont val="Arial"/>
        <b/>
        <color theme="1"/>
      </rPr>
      <t xml:space="preserve">MATTERLESS TECHNOLOGIES OPC PRIVATE LIMITED
</t>
    </r>
    <r>
      <rPr>
        <rFont val="Arial"/>
        <color theme="1"/>
      </rPr>
      <t>FORGE FACTORY, KCT TECHPARK, 03 ATHIPALAYAM ROAD, COIMBATORE - 641049
GST: 33AATCM6353J1ZZ
Ph: 9087610051</t>
    </r>
  </si>
  <si>
    <r>
      <rPr>
        <rFont val="Arial"/>
        <b/>
        <color theme="1"/>
      </rPr>
      <t xml:space="preserve">MATTERLESS TECHNOLOGIES OPC PRIVATE LIMITED
</t>
    </r>
    <r>
      <rPr>
        <rFont val="Arial"/>
        <color theme="1"/>
      </rPr>
      <t>FORGE FACTORY, KCT TECHPARK, 03 ATHIPALAYAM ROAD, COIMBATORE - 641049
GST: 33AATCM6353J1ZZ
Ph: 9087610051</t>
    </r>
  </si>
  <si>
    <r>
      <rPr>
        <rFont val="Arial"/>
        <b/>
        <color theme="1"/>
      </rPr>
      <t xml:space="preserve">MATTERLESS TECHNOLOGIES OPC PRIVATE LIMITED
</t>
    </r>
    <r>
      <rPr>
        <rFont val="Arial"/>
        <color theme="1"/>
      </rPr>
      <t>FORGE FACTORY, KCT TECHPARK, 03 ATHIPALAYAM ROAD, COIMBATORE - 641049
GST: 33AATCM6353J1ZZ
Ph: 9087610051</t>
    </r>
  </si>
  <si>
    <t>(2024-2025) kWh</t>
  </si>
  <si>
    <t>(2024-2025) Bill</t>
  </si>
  <si>
    <t>Avg Rs. /kWh 2</t>
  </si>
  <si>
    <t>Min</t>
  </si>
  <si>
    <t>Max</t>
  </si>
  <si>
    <t>Ratio</t>
  </si>
  <si>
    <t>Summer</t>
  </si>
  <si>
    <t>Daytime energy needed (AC)</t>
  </si>
  <si>
    <t>Rainy</t>
  </si>
  <si>
    <t>Dry / windy</t>
  </si>
  <si>
    <t>Winter</t>
  </si>
  <si>
    <t>Min =</t>
  </si>
  <si>
    <t>Estimated BESS kWh</t>
  </si>
  <si>
    <t>Max =</t>
  </si>
  <si>
    <t>Available BESS kWh</t>
  </si>
  <si>
    <t>DoD</t>
  </si>
  <si>
    <t>Inverter sizing kW</t>
  </si>
  <si>
    <t>Estimated daytime production kWh</t>
  </si>
  <si>
    <t>1. Analyse energy consumption for 1-2 years --&gt; calculate per day load consumption --&gt; Calculate solar panel &amp; inverter sizing</t>
  </si>
  <si>
    <t>2. Identify possible types of heavy loads (eg. EV vehicles, ACs, Geysers, etc.)</t>
  </si>
  <si>
    <t>3. Identify loads that need backup (for comfort and partial independence from grid)</t>
  </si>
  <si>
    <t>4. Calculate backup hours --&gt; calculate BESS capacity</t>
  </si>
  <si>
    <t>2025-2026</t>
  </si>
  <si>
    <t>DC/AC ratio = 1.1. to 1.25</t>
  </si>
  <si>
    <t>Units</t>
  </si>
  <si>
    <t>MG ZS</t>
  </si>
  <si>
    <t xml:space="preserve">Half charging times per week </t>
  </si>
  <si>
    <t xml:space="preserve">Final no of panels </t>
  </si>
  <si>
    <t>Final system size (kW)</t>
  </si>
  <si>
    <t>Hours</t>
  </si>
  <si>
    <t>Load kWh</t>
  </si>
  <si>
    <t>BESS kWh</t>
  </si>
  <si>
    <t>Loads</t>
  </si>
  <si>
    <t>MIN</t>
  </si>
  <si>
    <t>MAX</t>
  </si>
  <si>
    <t>Total kWh consumption</t>
  </si>
  <si>
    <t>All months</t>
  </si>
  <si>
    <t>Critical</t>
  </si>
  <si>
    <t xml:space="preserve">into consideration </t>
  </si>
  <si>
    <t xml:space="preserve">(Lighting, Fan, Fridge, Security cameras, Gate automation, ... ) </t>
  </si>
  <si>
    <t xml:space="preserve">Summer months </t>
  </si>
  <si>
    <t>HVAC</t>
  </si>
  <si>
    <t>Low solar hours</t>
  </si>
  <si>
    <t>Morning (6am to 10am)</t>
  </si>
  <si>
    <t xml:space="preserve">not into consideration </t>
  </si>
  <si>
    <t>High solar hours</t>
  </si>
  <si>
    <t>Late morning/afternoon (10am to 5pm)</t>
  </si>
  <si>
    <t>Non-solar hours</t>
  </si>
  <si>
    <t>Evening/night (5pm to 6am)</t>
  </si>
  <si>
    <t>Non-summer months</t>
  </si>
  <si>
    <t>EV</t>
  </si>
  <si>
    <t>Evening/night (8pm to 8am)</t>
  </si>
  <si>
    <t>HVAC capacity (kW) =</t>
  </si>
  <si>
    <t>Amps (A) =</t>
  </si>
  <si>
    <t>DoD =</t>
  </si>
  <si>
    <t>Inverter/battery efficiency =</t>
  </si>
  <si>
    <t>Required BESS (kWh) in Summer =</t>
  </si>
  <si>
    <t>Primarily, to offset HVAC load at night (8 hours)</t>
  </si>
  <si>
    <t>Required BESS (kWh) in non-Summer =</t>
  </si>
  <si>
    <t>Primarily, to offset HVAC load at night (upto 2 hours)</t>
  </si>
  <si>
    <t>Required solar kW =</t>
  </si>
  <si>
    <t xml:space="preserve">Parameters </t>
  </si>
  <si>
    <t xml:space="preserve">Values </t>
  </si>
  <si>
    <t xml:space="preserve">Units </t>
  </si>
  <si>
    <t xml:space="preserve">System capacity </t>
  </si>
  <si>
    <t>KW</t>
  </si>
  <si>
    <t xml:space="preserve">DC input voltage </t>
  </si>
  <si>
    <t>V</t>
  </si>
  <si>
    <t xml:space="preserve">AC supply voltage </t>
  </si>
  <si>
    <t xml:space="preserve">Phase </t>
  </si>
  <si>
    <t>ø</t>
  </si>
  <si>
    <t xml:space="preserve">Saftey Factor </t>
  </si>
  <si>
    <t xml:space="preserve">AC fuse rating </t>
  </si>
  <si>
    <t>A</t>
  </si>
  <si>
    <t xml:space="preserve">DC fuse rating </t>
  </si>
  <si>
    <t xml:space="preserve"> (System Size /SQRT(phase) * AC Input V * power factor )*(Safety factor )</t>
  </si>
  <si>
    <t xml:space="preserve">SPD RATING </t>
  </si>
  <si>
    <t xml:space="preserve">More than 600V in string </t>
  </si>
  <si>
    <t>1000V</t>
  </si>
  <si>
    <t xml:space="preserve">Less than 600V in string </t>
  </si>
  <si>
    <t>600V</t>
  </si>
  <si>
    <t>Appliances</t>
  </si>
  <si>
    <t>NOs</t>
  </si>
  <si>
    <t>power(W)</t>
  </si>
  <si>
    <t xml:space="preserve">Total power </t>
  </si>
  <si>
    <t xml:space="preserve">No of hours </t>
  </si>
  <si>
    <t>energy (Wh)</t>
  </si>
  <si>
    <t>Lights</t>
  </si>
  <si>
    <t>Fan</t>
  </si>
  <si>
    <t>daily consumption x day of atonomy /D.O.D  x System voltage</t>
  </si>
  <si>
    <t xml:space="preserve">TV </t>
  </si>
  <si>
    <t>AC</t>
  </si>
  <si>
    <t xml:space="preserve">Chargers </t>
  </si>
  <si>
    <t>Refrigerator</t>
  </si>
  <si>
    <t xml:space="preserve">Computers </t>
  </si>
  <si>
    <t xml:space="preserve">Others </t>
  </si>
  <si>
    <t>Mode</t>
  </si>
  <si>
    <t>Energy used (WH)</t>
  </si>
  <si>
    <t>Bateery needed (Kwh)</t>
  </si>
  <si>
    <t>battery V</t>
  </si>
  <si>
    <t>Battery AH</t>
  </si>
  <si>
    <t xml:space="preserve">Total capacity </t>
  </si>
  <si>
    <t xml:space="preserve">Run time </t>
  </si>
  <si>
    <t>Run Time(h) (3.3KWH)</t>
  </si>
  <si>
    <t>Run Time(h) (4.1KWH)</t>
  </si>
  <si>
    <t>Run Time(h) (8KWH)</t>
  </si>
  <si>
    <t xml:space="preserve">Basic - Lights &amp; Fans </t>
  </si>
  <si>
    <t xml:space="preserve">Semi Advanced - Lights , Fans , Refrigerator,charges </t>
  </si>
  <si>
    <t>Advanced - All</t>
  </si>
  <si>
    <t xml:space="preserve">Practical DC WIRING SIZING </t>
  </si>
  <si>
    <t xml:space="preserve">Panels Specs </t>
  </si>
  <si>
    <t>Values(V&amp;I)</t>
  </si>
  <si>
    <t>Vmp</t>
  </si>
  <si>
    <t>CURRENT/DISTANCE</t>
  </si>
  <si>
    <t>10m</t>
  </si>
  <si>
    <t>25m</t>
  </si>
  <si>
    <t>50m</t>
  </si>
  <si>
    <t>100m</t>
  </si>
  <si>
    <t>Indian Standards for DC Cables:
        •        Minimum DC cable size: 4mm² 
        •        Voltage drop limit: 2% for DC circuits 
        •        Material: XLPE or XLPO insulated copper cables 
        •        Standards: IS 7098 Part I &amp; II</t>
  </si>
  <si>
    <t>Imp</t>
  </si>
  <si>
    <t>10A</t>
  </si>
  <si>
    <t>20A</t>
  </si>
  <si>
    <t>30A</t>
  </si>
  <si>
    <t>40A</t>
  </si>
  <si>
    <t xml:space="preserve">No of panels in a string </t>
  </si>
  <si>
    <t>50A</t>
  </si>
  <si>
    <t xml:space="preserve">No of Strings </t>
  </si>
  <si>
    <t>Safety factor</t>
  </si>
  <si>
    <t xml:space="preserve">Practical AC WIRING SIZING </t>
  </si>
  <si>
    <t>Indian Standards for AC Cables:
	•	Minimum AC cable size: 4mm² 
	•	Voltage drop limit: 2% from inverter to distribution board 
	•	Material: PVC or XLPE insulated copper cables 
	•	Neutral wire: Same size as phase wires in 3-phase systems</t>
  </si>
  <si>
    <t>Copper quick ref (20 °C, Ω/m): 
2.5 mm²: 0.00741 
4 mm²: 0.00461 
6 mm²: 0.00308 
10 mm²: 0.00183 
16 mm²: 0.00115</t>
  </si>
  <si>
    <t>16A</t>
  </si>
  <si>
    <t>25A</t>
  </si>
  <si>
    <t>32A</t>
  </si>
  <si>
    <t>63A</t>
  </si>
  <si>
    <t xml:space="preserve">DC Wire Sizing </t>
  </si>
  <si>
    <t>Values  1</t>
  </si>
  <si>
    <t>Isc</t>
  </si>
  <si>
    <t xml:space="preserve">safety Factor And Contionous Load </t>
  </si>
  <si>
    <t>%</t>
  </si>
  <si>
    <t xml:space="preserve">Current </t>
  </si>
  <si>
    <t>Length</t>
  </si>
  <si>
    <t>L</t>
  </si>
  <si>
    <t>Panel Voltage Vmmp</t>
  </si>
  <si>
    <t xml:space="preserve">No of Pnaels </t>
  </si>
  <si>
    <t xml:space="preserve">System Voltage </t>
  </si>
  <si>
    <t>Voltage Drop</t>
  </si>
  <si>
    <t>Recomonded less than 2 %</t>
  </si>
  <si>
    <t xml:space="preserve">AC Wire Sizing </t>
  </si>
  <si>
    <t>Values  2</t>
  </si>
  <si>
    <t>Output Power</t>
  </si>
  <si>
    <t>W</t>
  </si>
  <si>
    <t xml:space="preserve">Voltage </t>
  </si>
  <si>
    <t xml:space="preserve">Efficiency </t>
  </si>
  <si>
    <t xml:space="preserve">Power Factor </t>
  </si>
  <si>
    <t xml:space="preserve">Voltage Drop 3 phase </t>
  </si>
  <si>
    <t xml:space="preserve">Parameter </t>
  </si>
  <si>
    <t>Reliance HJT 700Wp</t>
  </si>
  <si>
    <t xml:space="preserve"> Renewsys TOPCon (585Wp)</t>
  </si>
  <si>
    <t xml:space="preserve">Difference </t>
  </si>
  <si>
    <t>Pmax</t>
  </si>
  <si>
    <t>Wp</t>
  </si>
  <si>
    <t>HJT +20% power</t>
  </si>
  <si>
    <t>Vmpp</t>
  </si>
  <si>
    <t>3.3% (TOPCon higher V)</t>
  </si>
  <si>
    <t xml:space="preserve">Impp </t>
  </si>
  <si>
    <t xml:space="preserve">HJT +23.6% current </t>
  </si>
  <si>
    <t>Voc</t>
  </si>
  <si>
    <t>5.7% (TOPCon higher)</t>
  </si>
  <si>
    <t>HJT +29.5% short-circuit</t>
  </si>
  <si>
    <t xml:space="preserve">String </t>
  </si>
  <si>
    <t>Voltage (6xVmpp)</t>
  </si>
  <si>
    <t>Current (Impp)</t>
  </si>
  <si>
    <t>Power Output(Kw)</t>
  </si>
  <si>
    <t xml:space="preserve">HJT </t>
  </si>
  <si>
    <t>TOPCon</t>
  </si>
  <si>
    <t>Theoretical Total</t>
  </si>
  <si>
    <t>BEFORE Mismatch: 7.7 kW total
AFTER Clipping: HJT clipped to 13.64A - 249V × 13.64A = 3.4 kW (loss 19.1%)
TOPCon unchanged: 3.5 kW
NEW TOTAL: 6.9 kW
Mismatch Loss: 10.4% (800W lost)</t>
  </si>
  <si>
    <t>Inverter system</t>
  </si>
  <si>
    <t>Item</t>
  </si>
  <si>
    <t>Unit price</t>
  </si>
  <si>
    <t>Qty</t>
  </si>
  <si>
    <t>Total Price</t>
  </si>
  <si>
    <t>GST</t>
  </si>
  <si>
    <t>Final Price</t>
  </si>
  <si>
    <t>On-grid</t>
  </si>
  <si>
    <t xml:space="preserve">Microinverter </t>
  </si>
  <si>
    <t>IQ8P-72-2-INT</t>
  </si>
  <si>
    <t>Cables</t>
  </si>
  <si>
    <t>Q-12-10-240</t>
  </si>
  <si>
    <t>Accessories</t>
  </si>
  <si>
    <t xml:space="preserve">IQ-TERM-10 </t>
  </si>
  <si>
    <t>IQ-DISC-10</t>
  </si>
  <si>
    <t>Gateway</t>
  </si>
  <si>
    <t>ENV-S-WM-230</t>
  </si>
  <si>
    <t>IQ Relay 3P</t>
  </si>
  <si>
    <t>CT</t>
  </si>
  <si>
    <t>200A</t>
  </si>
  <si>
    <t>Lakhs</t>
  </si>
  <si>
    <t>Hybrid</t>
  </si>
  <si>
    <t>Comm cable</t>
  </si>
  <si>
    <t>I-ENPHASE-CTRL-BL-EU-01</t>
  </si>
  <si>
    <t>System Controller</t>
  </si>
  <si>
    <t>I-SC100G-M230INT</t>
  </si>
  <si>
    <t>5kWh 3P BESS</t>
  </si>
  <si>
    <t>I-IQBATTERY-5P-3P-INT</t>
  </si>
  <si>
    <t>BIG MINUS:</t>
  </si>
  <si>
    <t>i) 17 panels vs 12 panels with 8kW string inverter system (due to smaller rated output power at 475W)</t>
  </si>
  <si>
    <t>ii) Total inverter system cost is 4x (with Deye on-grid) or 2x (with Deye hybrid)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</si>
</sst>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sz val="10.0"/>
      <color theme="1"/>
      <name val="Arial"/>
      <scheme val="minor"/>
    </font>
    <font>
      <b/>
      <sz val="12.0"/>
      <color theme="1"/>
      <name val="Arial"/>
      <scheme val="minor"/>
    </font>
    <font>
      <b/>
      <color rgb="FF0B5394"/>
      <name val="Arial"/>
      <scheme val="minor"/>
    </font>
    <font>
      <color rgb="FF000000"/>
      <name val="Arial"/>
      <scheme val="minor"/>
    </font>
    <font>
      <b/>
      <color rgb="FF674EA7"/>
      <name val="Arial"/>
      <scheme val="minor"/>
    </font>
    <font>
      <color rgb="FF674EA7"/>
      <name val="Arial"/>
      <scheme val="minor"/>
    </font>
    <font>
      <b/>
      <color rgb="FF674EA7"/>
      <name val="Arial"/>
    </font>
    <font>
      <b/>
      <color rgb="FF3C78D8"/>
      <name val="Arial"/>
      <scheme val="minor"/>
    </font>
    <font>
      <color rgb="FF0B5394"/>
      <name val="Arial"/>
      <scheme val="minor"/>
    </font>
    <font>
      <color rgb="FF626E7A"/>
      <name val="Arial"/>
      <scheme val="minor"/>
    </font>
    <font>
      <color theme="0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</font>
    <font>
      <b/>
      <color rgb="FFFF0000"/>
      <name val="Arial"/>
      <scheme val="minor"/>
    </font>
    <font>
      <b/>
      <color rgb="FFFF0000"/>
      <name val="Arial"/>
    </font>
    <font>
      <b/>
      <color rgb="FF38761D"/>
      <name val="Arial"/>
      <scheme val="minor"/>
    </font>
    <font>
      <b/>
      <color theme="1"/>
      <name val="Times New Roman"/>
    </font>
    <font>
      <b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DD9D4"/>
        <bgColor rgb="FFCDD9D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375BD8"/>
        <bgColor rgb="FF375BD8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94">
    <border/>
    <border>
      <right style="thick">
        <color rgb="FF93C47D"/>
      </right>
      <top style="thick">
        <color rgb="FF93C47D"/>
      </top>
      <bottom style="thick">
        <color rgb="FF93C47D"/>
      </bottom>
    </border>
    <border>
      <left style="thick">
        <color rgb="FF93C47D"/>
      </left>
      <right style="thick">
        <color rgb="FF93C47D"/>
      </right>
      <top style="thick">
        <color rgb="FF93C47D"/>
      </top>
      <bottom style="thick">
        <color rgb="FF93C47D"/>
      </bottom>
    </border>
    <border>
      <left style="thick">
        <color rgb="FFBF9000"/>
      </left>
      <top style="thick">
        <color rgb="FFBF9000"/>
      </top>
      <bottom style="thick">
        <color rgb="FFBF9000"/>
      </bottom>
    </border>
    <border>
      <right style="thick">
        <color rgb="FFBF9000"/>
      </right>
      <top style="thick">
        <color rgb="FFBF9000"/>
      </top>
      <bottom style="thick">
        <color rgb="FFBF9000"/>
      </bottom>
    </border>
    <border>
      <right style="thin">
        <color rgb="FF000000"/>
      </right>
    </border>
    <border>
      <left style="thick">
        <color rgb="FFBF9000"/>
      </left>
      <right style="thick">
        <color rgb="FFBF9000"/>
      </right>
      <top style="thick">
        <color rgb="FFBF9000"/>
      </top>
    </border>
    <border>
      <left style="thick">
        <color rgb="FFBF9000"/>
      </left>
      <right style="thick">
        <color rgb="FFBF9000"/>
      </right>
      <top style="thick">
        <color rgb="FFBF9000"/>
      </top>
      <bottom style="thick">
        <color rgb="FFBF9000"/>
      </bottom>
    </border>
    <border>
      <left style="thick">
        <color rgb="FFBF9000"/>
      </left>
      <top style="thick">
        <color rgb="FFBF9000"/>
      </top>
    </border>
    <border>
      <top style="thick">
        <color rgb="FF38761D"/>
      </top>
    </border>
    <border>
      <right style="thick">
        <color rgb="FF38761D"/>
      </right>
      <top style="thick">
        <color rgb="FF38761D"/>
      </top>
    </border>
    <border>
      <left style="thick">
        <color rgb="FF93C47D"/>
      </left>
      <top style="thick">
        <color rgb="FF93C47D"/>
      </top>
    </border>
    <border>
      <right style="thick">
        <color rgb="FF93C47D"/>
      </right>
      <top style="thick">
        <color rgb="FF93C47D"/>
      </top>
    </border>
    <border>
      <left style="thick">
        <color rgb="FFBF9000"/>
      </left>
    </border>
    <border>
      <right style="thick">
        <color rgb="FFBF9000"/>
      </right>
    </border>
    <border>
      <top style="thick">
        <color rgb="FFBF9000"/>
      </top>
      <bottom style="thick">
        <color rgb="FFBF9000"/>
      </bottom>
    </border>
    <border>
      <right style="thick">
        <color rgb="FFBF9000"/>
      </right>
      <top style="thick">
        <color rgb="FFBF9000"/>
      </top>
    </border>
    <border>
      <right style="thick">
        <color rgb="FF38761D"/>
      </right>
    </border>
    <border>
      <left style="thick">
        <color rgb="FF93C47D"/>
      </left>
    </border>
    <border>
      <right style="thick">
        <color rgb="FF93C47D"/>
      </right>
    </border>
    <border>
      <bottom style="thick">
        <color rgb="FF38761D"/>
      </bottom>
    </border>
    <border>
      <right style="thick">
        <color rgb="FF38761D"/>
      </right>
      <bottom style="thick">
        <color rgb="FF38761D"/>
      </bottom>
    </border>
    <border>
      <left style="thick">
        <color rgb="FF93C47D"/>
      </left>
      <bottom style="thick">
        <color rgb="FF93C47D"/>
      </bottom>
    </border>
    <border>
      <right style="thick">
        <color rgb="FF93C47D"/>
      </right>
      <bottom style="thick">
        <color rgb="FF93C47D"/>
      </bottom>
    </border>
    <border>
      <left style="thick">
        <color rgb="FFBF9000"/>
      </left>
      <bottom style="thick">
        <color rgb="FFBF9000"/>
      </bottom>
    </border>
    <border>
      <right style="thick">
        <color rgb="FFBF9000"/>
      </right>
      <bottom style="thick">
        <color rgb="FFBF9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B6D7A8"/>
      </left>
      <top style="thin">
        <color rgb="FF000000"/>
      </top>
    </border>
    <border>
      <right style="thick">
        <color rgb="FFB6D7A8"/>
      </right>
      <top style="thin">
        <color rgb="FF000000"/>
      </top>
    </border>
    <border>
      <left style="thick">
        <color rgb="FFBF9000"/>
      </left>
      <right style="thick">
        <color rgb="FFBF9000"/>
      </right>
      <top style="thin">
        <color rgb="FF000000"/>
      </top>
    </border>
    <border>
      <left style="thick">
        <color rgb="FFBF9000"/>
      </left>
      <right style="thick">
        <color rgb="FFBF9000"/>
      </right>
      <top style="thin">
        <color rgb="FF000000"/>
      </top>
      <bottom style="thick">
        <color rgb="FFBF9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ck">
        <color rgb="FFB6D7A8"/>
      </left>
    </border>
    <border>
      <right style="thick">
        <color rgb="FFB6D7A8"/>
      </right>
    </border>
    <border>
      <left style="thick">
        <color rgb="FFB6D7A8"/>
      </left>
      <bottom style="thick">
        <color rgb="FFB6D7A8"/>
      </bottom>
    </border>
    <border>
      <right style="thick">
        <color rgb="FFB6D7A8"/>
      </right>
      <bottom style="thick">
        <color rgb="FFB6D7A8"/>
      </bottom>
    </border>
    <border>
      <top style="thick">
        <color rgb="FFBF9000"/>
      </top>
    </border>
    <border>
      <left style="thick">
        <color rgb="FFF4CCCC"/>
      </left>
      <top style="thick">
        <color rgb="FFF4CCCC"/>
      </top>
    </border>
    <border>
      <right style="thick">
        <color rgb="FFF4CCCC"/>
      </right>
      <top style="thick">
        <color rgb="FFF4CCCC"/>
      </top>
    </border>
    <border>
      <bottom style="thick">
        <color rgb="FFBF9000"/>
      </bottom>
    </border>
    <border>
      <left style="thick">
        <color rgb="FFF4CCCC"/>
      </left>
      <bottom style="thick">
        <color rgb="FFF4CCCC"/>
      </bottom>
    </border>
    <border>
      <right style="thick">
        <color rgb="FFF4CCCC"/>
      </right>
      <bottom style="thick">
        <color rgb="FFF4CCCC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A9999"/>
      </left>
      <right style="thin">
        <color rgb="FFEA9999"/>
      </right>
      <top style="thin">
        <color rgb="FFEA9999"/>
      </top>
    </border>
    <border>
      <left style="thin">
        <color rgb="FFEA9999"/>
      </left>
      <top style="thin">
        <color rgb="FFEA9999"/>
      </top>
    </border>
    <border>
      <left style="thin">
        <color rgb="FFEA4335"/>
      </left>
      <right style="thin">
        <color rgb="FFEA4335"/>
      </right>
      <top style="thin">
        <color rgb="FFEA4335"/>
      </top>
      <bottom style="thin">
        <color rgb="FFEA4335"/>
      </bottom>
    </border>
    <border>
      <right style="thin">
        <color rgb="FFEA9999"/>
      </right>
      <top style="thin">
        <color rgb="FFEA9999"/>
      </top>
    </border>
    <border>
      <left style="thin">
        <color rgb="FFE06666"/>
      </left>
      <right style="thin">
        <color rgb="FFE06666"/>
      </right>
      <top style="thin">
        <color rgb="FFE06666"/>
      </top>
      <bottom style="thin">
        <color rgb="FFE06666"/>
      </bottom>
    </border>
    <border>
      <left style="thin">
        <color rgb="FFE06666"/>
      </left>
      <top style="thin">
        <color rgb="FFE06666"/>
      </top>
      <bottom style="thin">
        <color rgb="FFE06666"/>
      </bottom>
    </border>
    <border>
      <right style="thin">
        <color rgb="FFE06666"/>
      </right>
      <top style="thin">
        <color rgb="FFE06666"/>
      </top>
      <bottom style="thin">
        <color rgb="FFE06666"/>
      </bottom>
    </border>
    <border>
      <left style="thin">
        <color rgb="FFE06666"/>
      </left>
      <right style="thin">
        <color rgb="FFE06666"/>
      </right>
      <top style="thin">
        <color rgb="FFE06666"/>
      </top>
    </border>
    <border>
      <left style="thin">
        <color rgb="FFE06666"/>
      </left>
      <top style="thin">
        <color rgb="FFE06666"/>
      </top>
    </border>
    <border>
      <left style="thin">
        <color rgb="FFEA4335"/>
      </left>
      <right style="thin">
        <color rgb="FFEA4335"/>
      </right>
      <top style="thin">
        <color rgb="FFEA4335"/>
      </top>
    </border>
    <border>
      <right style="thin">
        <color rgb="FFE06666"/>
      </right>
      <top style="thin">
        <color rgb="FFE06666"/>
      </top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medium">
        <color rgb="FFFF0000"/>
      </left>
      <top style="medium">
        <color rgb="FFFF0000"/>
      </top>
      <bottom style="medium">
        <color rgb="FFFF0000"/>
      </bottom>
    </border>
    <border>
      <left style="medium">
        <color rgb="FFEA4335"/>
      </left>
      <right style="medium">
        <color rgb="FFEA4335"/>
      </right>
      <top style="medium">
        <color rgb="FFEA4335"/>
      </top>
      <bottom style="medium">
        <color rgb="FFEA4335"/>
      </bottom>
    </border>
    <border>
      <right style="medium">
        <color rgb="FFFF0000"/>
      </right>
      <top style="medium">
        <color rgb="FFFF0000"/>
      </top>
      <bottom style="medium">
        <color rgb="FFFF0000"/>
      </bottom>
    </border>
    <border>
      <left style="medium">
        <color rgb="FF3D85C6"/>
      </left>
      <right style="medium">
        <color rgb="FF3D85C6"/>
      </right>
      <top style="medium">
        <color rgb="FF3D85C6"/>
      </top>
      <bottom style="medium">
        <color rgb="FF3D85C6"/>
      </bottom>
    </border>
    <border>
      <left style="medium">
        <color rgb="FF4285F4"/>
      </left>
      <right style="medium">
        <color rgb="FF4285F4"/>
      </right>
      <top style="medium">
        <color rgb="FF4285F4"/>
      </top>
      <bottom style="medium">
        <color rgb="FF4285F4"/>
      </bottom>
    </border>
    <border>
      <left style="medium">
        <color rgb="FFEA9999"/>
      </left>
      <top style="medium">
        <color rgb="FFEA9999"/>
      </top>
    </border>
    <border>
      <top style="medium">
        <color rgb="FFEA9999"/>
      </top>
    </border>
    <border>
      <right style="medium">
        <color rgb="FFEA9999"/>
      </right>
      <top style="medium">
        <color rgb="FFEA9999"/>
      </top>
    </border>
    <border>
      <left style="medium">
        <color rgb="FFEA9999"/>
      </left>
      <bottom style="medium">
        <color rgb="FFEA9999"/>
      </bottom>
    </border>
    <border>
      <bottom style="medium">
        <color rgb="FFEA9999"/>
      </bottom>
    </border>
    <border>
      <right style="medium">
        <color rgb="FFEA9999"/>
      </right>
      <bottom style="medium">
        <color rgb="FFEA9999"/>
      </bottom>
    </border>
    <border>
      <left style="medium">
        <color rgb="FF3C78D8"/>
      </left>
      <right style="medium">
        <color rgb="FF3C78D8"/>
      </right>
      <top style="medium">
        <color rgb="FF3C78D8"/>
      </top>
      <bottom style="medium">
        <color rgb="FF3C78D8"/>
      </bottom>
    </border>
    <border>
      <left style="medium">
        <color rgb="FF356854"/>
      </left>
      <right style="medium">
        <color rgb="FF356854"/>
      </right>
      <bottom style="medium">
        <color rgb="FF356854"/>
      </bottom>
    </border>
    <border>
      <left style="medium">
        <color rgb="FF356854"/>
      </left>
      <right style="medium">
        <color rgb="FF356854"/>
      </right>
      <top style="medium">
        <color rgb="FF356854"/>
      </top>
      <bottom style="medium">
        <color rgb="FF356854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6AA84F"/>
      </left>
      <right style="thick">
        <color rgb="FF6AA84F"/>
      </right>
      <top style="thick">
        <color rgb="FF6AA84F"/>
      </top>
      <bottom style="thick">
        <color rgb="FF6AA84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0000"/>
      </left>
      <top style="medium">
        <color rgb="FFCC0000"/>
      </top>
    </border>
    <border>
      <top style="medium">
        <color rgb="FFCC0000"/>
      </top>
    </border>
    <border>
      <right style="medium">
        <color rgb="FFCC0000"/>
      </right>
      <top style="medium">
        <color rgb="FFCC0000"/>
      </top>
    </border>
    <border>
      <left style="medium">
        <color rgb="FFCC0000"/>
      </left>
    </border>
    <border>
      <right style="medium">
        <color rgb="FFCC0000"/>
      </right>
    </border>
    <border>
      <left style="medium">
        <color rgb="FFCC0000"/>
      </left>
      <bottom style="medium">
        <color rgb="FFCC0000"/>
      </bottom>
    </border>
    <border>
      <bottom style="medium">
        <color rgb="FFCC0000"/>
      </bottom>
    </border>
    <border>
      <right style="medium">
        <color rgb="FFCC0000"/>
      </right>
      <bottom style="medium">
        <color rgb="FFCC0000"/>
      </bottom>
    </border>
  </borders>
  <cellStyleXfs count="1">
    <xf borderId="0" fillId="0" fontId="0" numFmtId="0" applyAlignment="1" applyFont="1"/>
  </cellStyleXfs>
  <cellXfs count="3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2" numFmtId="0" xfId="0" applyBorder="1" applyFont="1"/>
    <xf borderId="5" fillId="0" fontId="1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10" fillId="0" fontId="1" numFmtId="1" xfId="0" applyAlignment="1" applyBorder="1" applyFont="1" applyNumberFormat="1">
      <alignment readingOrder="0"/>
    </xf>
    <xf borderId="11" fillId="0" fontId="1" numFmtId="0" xfId="0" applyAlignment="1" applyBorder="1" applyFont="1">
      <alignment readingOrder="0"/>
    </xf>
    <xf borderId="12" fillId="0" fontId="1" numFmtId="164" xfId="0" applyAlignment="1" applyBorder="1" applyFont="1" applyNumberForma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7" fillId="0" fontId="1" numFmtId="0" xfId="0" applyBorder="1" applyFont="1"/>
    <xf borderId="4" fillId="2" fontId="1" numFmtId="0" xfId="0" applyBorder="1" applyFill="1" applyFont="1"/>
    <xf borderId="16" fillId="0" fontId="1" numFmtId="0" xfId="0" applyAlignment="1" applyBorder="1" applyFont="1">
      <alignment readingOrder="0"/>
    </xf>
    <xf borderId="7" fillId="0" fontId="1" numFmtId="2" xfId="0" applyBorder="1" applyFont="1" applyNumberFormat="1"/>
    <xf borderId="4" fillId="2" fontId="1" numFmtId="2" xfId="0" applyBorder="1" applyFont="1" applyNumberFormat="1"/>
    <xf borderId="7" fillId="2" fontId="1" numFmtId="1" xfId="0" applyAlignment="1" applyBorder="1" applyFont="1" applyNumberFormat="1">
      <alignment readingOrder="0"/>
    </xf>
    <xf borderId="4" fillId="0" fontId="1" numFmtId="1" xfId="0" applyBorder="1" applyFont="1" applyNumberFormat="1"/>
    <xf borderId="0" fillId="0" fontId="1" numFmtId="0" xfId="0" applyAlignment="1" applyFont="1">
      <alignment readingOrder="0"/>
    </xf>
    <xf borderId="1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9" fillId="0" fontId="1" numFmtId="164" xfId="0" applyBorder="1" applyFont="1" applyNumberFormat="1"/>
    <xf borderId="4" fillId="2" fontId="1" numFmtId="1" xfId="0" applyBorder="1" applyFont="1" applyNumberFormat="1"/>
    <xf borderId="4" fillId="0" fontId="1" numFmtId="0" xfId="0" applyBorder="1" applyFont="1"/>
    <xf borderId="20" fillId="0" fontId="1" numFmtId="0" xfId="0" applyAlignment="1" applyBorder="1" applyFont="1">
      <alignment readingOrder="0"/>
    </xf>
    <xf borderId="21" fillId="0" fontId="1" numFmtId="1" xfId="0" applyAlignment="1" applyBorder="1" applyFont="1" applyNumberFormat="1">
      <alignment readingOrder="0"/>
    </xf>
    <xf borderId="22" fillId="0" fontId="3" numFmtId="0" xfId="0" applyAlignment="1" applyBorder="1" applyFont="1">
      <alignment readingOrder="0"/>
    </xf>
    <xf borderId="23" fillId="0" fontId="1" numFmtId="2" xfId="0" applyAlignment="1" applyBorder="1" applyFont="1" applyNumberFormat="1">
      <alignment readingOrder="0"/>
    </xf>
    <xf borderId="24" fillId="0" fontId="1" numFmtId="0" xfId="0" applyAlignment="1" applyBorder="1" applyFont="1">
      <alignment readingOrder="0"/>
    </xf>
    <xf borderId="25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2" xfId="0" applyBorder="1" applyFont="1" applyNumberFormat="1"/>
    <xf borderId="0" fillId="0" fontId="1" numFmtId="9" xfId="0" applyAlignment="1" applyFont="1" applyNumberFormat="1">
      <alignment readingOrder="0"/>
    </xf>
    <xf borderId="17" fillId="0" fontId="1" numFmtId="164" xfId="0" applyBorder="1" applyFont="1" applyNumberFormat="1"/>
    <xf borderId="0" fillId="0" fontId="1" numFmtId="164" xfId="0" applyFont="1" applyNumberFormat="1"/>
    <xf borderId="0" fillId="2" fontId="1" numFmtId="1" xfId="0" applyFont="1" applyNumberFormat="1"/>
    <xf borderId="0" fillId="0" fontId="3" numFmtId="0" xfId="0" applyAlignment="1" applyFont="1">
      <alignment readingOrder="0"/>
    </xf>
    <xf borderId="17" fillId="0" fontId="3" numFmtId="164" xfId="0" applyBorder="1" applyFont="1" applyNumberForma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2" xfId="0" applyFont="1" applyNumberFormat="1"/>
    <xf borderId="21" fillId="0" fontId="1" numFmtId="164" xfId="0" applyBorder="1" applyFont="1" applyNumberFormat="1"/>
    <xf borderId="0" fillId="2" fontId="1" numFmtId="2" xfId="0" applyFont="1" applyNumberFormat="1"/>
    <xf borderId="0" fillId="0" fontId="1" numFmtId="1" xfId="0" applyFont="1" applyNumberFormat="1"/>
    <xf borderId="26" fillId="0" fontId="1" numFmtId="0" xfId="0" applyAlignment="1" applyBorder="1" applyFont="1">
      <alignment readingOrder="0"/>
    </xf>
    <xf borderId="27" fillId="0" fontId="1" numFmtId="0" xfId="0" applyBorder="1" applyFont="1"/>
    <xf borderId="28" fillId="0" fontId="1" numFmtId="0" xfId="0" applyAlignment="1" applyBorder="1" applyFont="1">
      <alignment readingOrder="0"/>
    </xf>
    <xf borderId="29" fillId="0" fontId="1" numFmtId="164" xfId="0" applyAlignment="1" applyBorder="1" applyFont="1" applyNumberFormat="1">
      <alignment readingOrder="0"/>
    </xf>
    <xf borderId="30" fillId="0" fontId="1" numFmtId="0" xfId="0" applyAlignment="1" applyBorder="1" applyFont="1">
      <alignment readingOrder="0"/>
    </xf>
    <xf borderId="31" fillId="0" fontId="1" numFmtId="0" xfId="0" applyAlignment="1" applyBorder="1" applyFont="1">
      <alignment readingOrder="0"/>
    </xf>
    <xf borderId="27" fillId="0" fontId="4" numFmtId="0" xfId="0" applyBorder="1" applyFont="1"/>
    <xf borderId="32" fillId="0" fontId="1" numFmtId="0" xfId="0" applyBorder="1" applyFont="1"/>
    <xf borderId="33" fillId="0" fontId="1" numFmtId="0" xfId="0" applyBorder="1" applyFont="1"/>
    <xf borderId="34" fillId="0" fontId="1" numFmtId="0" xfId="0" applyAlignment="1" applyBorder="1" applyFont="1">
      <alignment readingOrder="0"/>
    </xf>
    <xf borderId="35" fillId="0" fontId="1" numFmtId="164" xfId="0" applyBorder="1" applyFont="1" applyNumberFormat="1"/>
    <xf borderId="4" fillId="0" fontId="1" numFmtId="0" xfId="0" applyAlignment="1" applyBorder="1" applyFont="1">
      <alignment readingOrder="0"/>
    </xf>
    <xf borderId="7" fillId="0" fontId="1" numFmtId="164" xfId="0" applyBorder="1" applyFont="1" applyNumberFormat="1"/>
    <xf borderId="7" fillId="0" fontId="1" numFmtId="1" xfId="0" applyBorder="1" applyFont="1" applyNumberFormat="1"/>
    <xf borderId="36" fillId="0" fontId="3" numFmtId="0" xfId="0" applyAlignment="1" applyBorder="1" applyFont="1">
      <alignment readingOrder="0"/>
    </xf>
    <xf borderId="37" fillId="0" fontId="1" numFmtId="164" xfId="0" applyBorder="1" applyFont="1" applyNumberFormat="1"/>
    <xf borderId="16" fillId="0" fontId="1" numFmtId="1" xfId="0" applyBorder="1" applyFont="1" applyNumberFormat="1"/>
    <xf borderId="25" fillId="0" fontId="1" numFmtId="1" xfId="0" applyBorder="1" applyFont="1" applyNumberFormat="1"/>
    <xf borderId="0" fillId="3" fontId="3" numFmtId="0" xfId="0" applyAlignment="1" applyFill="1" applyFont="1">
      <alignment horizontal="center" readingOrder="0"/>
    </xf>
    <xf borderId="38" fillId="0" fontId="1" numFmtId="2" xfId="0" applyAlignment="1" applyBorder="1" applyFont="1" applyNumberFormat="1">
      <alignment horizontal="center" readingOrder="0"/>
    </xf>
    <xf borderId="38" fillId="0" fontId="2" numFmtId="0" xfId="0" applyBorder="1" applyFont="1"/>
    <xf borderId="39" fillId="0" fontId="1" numFmtId="164" xfId="0" applyAlignment="1" applyBorder="1" applyFont="1" applyNumberFormat="1">
      <alignment horizontal="center"/>
    </xf>
    <xf borderId="40" fillId="0" fontId="2" numFmtId="0" xfId="0" applyBorder="1" applyFont="1"/>
    <xf borderId="41" fillId="0" fontId="1" numFmtId="0" xfId="0" applyAlignment="1" applyBorder="1" applyFont="1">
      <alignment horizontal="right"/>
    </xf>
    <xf borderId="41" fillId="0" fontId="1" numFmtId="1" xfId="0" applyAlignment="1" applyBorder="1" applyFont="1" applyNumberFormat="1">
      <alignment horizontal="right"/>
    </xf>
    <xf borderId="42" fillId="0" fontId="1" numFmtId="0" xfId="0" applyAlignment="1" applyBorder="1" applyFont="1">
      <alignment horizontal="right"/>
    </xf>
    <xf borderId="43" fillId="0" fontId="1" numFmtId="1" xfId="0" applyAlignment="1" applyBorder="1" applyFont="1" applyNumberFormat="1">
      <alignment horizontal="right"/>
    </xf>
    <xf borderId="0" fillId="0" fontId="1" numFmtId="4" xfId="0" applyFont="1" applyNumberFormat="1"/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1"/>
    </xf>
    <xf borderId="0" fillId="0" fontId="1" numFmtId="49" xfId="0" applyAlignment="1" applyFont="1" applyNumberFormat="1">
      <alignment horizontal="right" readingOrder="0" shrinkToFit="0" vertical="center" wrapText="1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5" fillId="0" fontId="1" numFmtId="0" xfId="0" applyAlignment="1" applyBorder="1" applyFont="1">
      <alignment readingOrder="0"/>
    </xf>
    <xf borderId="33" fillId="0" fontId="1" numFmtId="10" xfId="0" applyBorder="1" applyFont="1" applyNumberFormat="1"/>
    <xf borderId="0" fillId="0" fontId="1" numFmtId="1" xfId="0" applyAlignment="1" applyFont="1" applyNumberFormat="1">
      <alignment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10" fillId="0" fontId="1" numFmtId="1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readingOrder="0"/>
    </xf>
    <xf borderId="5" fillId="0" fontId="1" numFmtId="1" xfId="0" applyBorder="1" applyFont="1" applyNumberFormat="1"/>
    <xf borderId="0" fillId="0" fontId="3" numFmtId="0" xfId="0" applyAlignment="1" applyFont="1">
      <alignment horizontal="center" readingOrder="0" shrinkToFit="0" vertical="center" wrapText="0"/>
    </xf>
    <xf borderId="0" fillId="0" fontId="3" numFmtId="1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4" fontId="3" numFmtId="10" xfId="0" applyAlignment="1" applyFill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44" fillId="0" fontId="1" numFmtId="0" xfId="0" applyBorder="1" applyFont="1"/>
    <xf borderId="45" fillId="0" fontId="1" numFmtId="0" xfId="0" applyBorder="1" applyFont="1"/>
    <xf borderId="46" fillId="0" fontId="1" numFmtId="0" xfId="0" applyBorder="1" applyFont="1"/>
    <xf borderId="0" fillId="5" fontId="3" numFmtId="0" xfId="0" applyAlignment="1" applyFill="1" applyFont="1">
      <alignment horizontal="center"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6" fontId="1" numFmtId="1" xfId="0" applyAlignment="1" applyFont="1" applyNumberFormat="1">
      <alignment readingOrder="0"/>
    </xf>
    <xf borderId="0" fillId="7" fontId="1" numFmtId="164" xfId="0" applyFill="1" applyFont="1" applyNumberFormat="1"/>
    <xf borderId="0" fillId="0" fontId="1" numFmtId="9" xfId="0" applyFont="1" applyNumberFormat="1"/>
    <xf borderId="0" fillId="0" fontId="1" numFmtId="1" xfId="0" applyAlignment="1" applyFont="1" applyNumberFormat="1">
      <alignment vertical="center"/>
    </xf>
    <xf borderId="0" fillId="6" fontId="1" numFmtId="0" xfId="0" applyAlignment="1" applyFont="1">
      <alignment horizontal="right" readingOrder="0"/>
    </xf>
    <xf borderId="0" fillId="7" fontId="1" numFmtId="164" xfId="0" applyAlignment="1" applyFont="1" applyNumberFormat="1">
      <alignment readingOrder="0"/>
    </xf>
    <xf borderId="0" fillId="6" fontId="1" numFmtId="0" xfId="0" applyFont="1"/>
    <xf borderId="0" fillId="6" fontId="1" numFmtId="0" xfId="0" applyAlignment="1" applyFont="1">
      <alignment horizontal="right"/>
    </xf>
    <xf borderId="0" fillId="7" fontId="1" numFmtId="0" xfId="0" applyFont="1"/>
    <xf borderId="0" fillId="7" fontId="1" numFmtId="0" xfId="0" applyAlignment="1" applyFont="1">
      <alignment readingOrder="0"/>
    </xf>
    <xf borderId="0" fillId="0" fontId="1" numFmtId="0" xfId="0" applyFont="1"/>
    <xf borderId="0" fillId="0" fontId="3" numFmtId="1" xfId="0" applyFont="1" applyNumberFormat="1"/>
    <xf borderId="0" fillId="0" fontId="3" numFmtId="0" xfId="0" applyFont="1"/>
    <xf borderId="0" fillId="0" fontId="1" numFmtId="0" xfId="0" applyAlignment="1" applyFont="1">
      <alignment readingOrder="0"/>
    </xf>
    <xf borderId="0" fillId="2" fontId="3" numFmtId="1" xfId="0" applyFont="1" applyNumberFormat="1"/>
    <xf borderId="0" fillId="0" fontId="1" numFmtId="10" xfId="0" applyFont="1" applyNumberFormat="1"/>
    <xf borderId="0" fillId="3" fontId="3" numFmtId="1" xfId="0" applyFont="1" applyNumberFormat="1"/>
    <xf borderId="0" fillId="3" fontId="1" numFmtId="1" xfId="0" applyFont="1" applyNumberFormat="1"/>
    <xf borderId="0" fillId="5" fontId="3" numFmtId="0" xfId="0" applyAlignment="1" applyFont="1">
      <alignment readingOrder="0"/>
    </xf>
    <xf borderId="0" fillId="5" fontId="3" numFmtId="1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/>
    </xf>
    <xf borderId="0" fillId="8" fontId="5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1"/>
    </xf>
    <xf borderId="0" fillId="8" fontId="3" numFmtId="0" xfId="0" applyAlignment="1" applyFont="1">
      <alignment horizontal="center" readingOrder="0"/>
    </xf>
    <xf borderId="0" fillId="8" fontId="1" numFmtId="0" xfId="0" applyAlignment="1" applyFont="1">
      <alignment readingOrder="0"/>
    </xf>
    <xf borderId="0" fillId="8" fontId="3" numFmtId="1" xfId="0" applyFont="1" applyNumberFormat="1"/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8" fontId="1" numFmtId="0" xfId="0" applyAlignment="1" applyFont="1">
      <alignment horizontal="right" readingOrder="0"/>
    </xf>
    <xf borderId="0" fillId="7" fontId="1" numFmtId="9" xfId="0" applyAlignment="1" applyFont="1" applyNumberFormat="1">
      <alignment readingOrder="0"/>
    </xf>
    <xf borderId="0" fillId="7" fontId="1" numFmtId="1" xfId="0" applyFont="1" applyNumberFormat="1"/>
    <xf borderId="0" fillId="0" fontId="1" numFmtId="0" xfId="0" applyAlignment="1" applyFont="1">
      <alignment horizontal="center" readingOrder="0"/>
    </xf>
    <xf borderId="0" fillId="7" fontId="1" numFmtId="0" xfId="0" applyAlignment="1" applyFont="1">
      <alignment horizontal="right"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right" readingOrder="0"/>
    </xf>
    <xf borderId="0" fillId="2" fontId="1" numFmtId="164" xfId="0" applyAlignment="1" applyFont="1" applyNumberFormat="1">
      <alignment readingOrder="0" vertical="center"/>
    </xf>
    <xf borderId="0" fillId="2" fontId="1" numFmtId="9" xfId="0" applyAlignment="1" applyFont="1" applyNumberFormat="1">
      <alignment readingOrder="0"/>
    </xf>
    <xf borderId="0" fillId="2" fontId="1" numFmtId="1" xfId="0" applyAlignment="1" applyFont="1" applyNumberFormat="1">
      <alignment vertical="center"/>
    </xf>
    <xf borderId="0" fillId="2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1" xfId="0" applyAlignment="1" applyFont="1" applyNumberFormat="1">
      <alignment horizontal="right" readingOrder="0"/>
    </xf>
    <xf borderId="0" fillId="3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8" fontId="3" numFmtId="0" xfId="0" applyAlignment="1" applyFont="1">
      <alignment horizontal="center" readingOrder="0" vertical="center"/>
    </xf>
    <xf borderId="0" fillId="7" fontId="3" numFmtId="0" xfId="0" applyAlignment="1" applyFont="1">
      <alignment horizontal="center" readingOrder="0" vertical="center"/>
    </xf>
    <xf borderId="0" fillId="9" fontId="1" numFmtId="0" xfId="0" applyAlignment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7" fontId="7" numFmtId="0" xfId="0" applyAlignment="1" applyFont="1">
      <alignment horizontal="center" readingOrder="0" shrinkToFit="0" vertical="center" wrapText="0"/>
    </xf>
    <xf borderId="0" fillId="7" fontId="1" numFmtId="0" xfId="0" applyAlignment="1" applyFont="1">
      <alignment horizontal="center" readingOrder="0"/>
    </xf>
    <xf borderId="0" fillId="9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47" fillId="0" fontId="8" numFmtId="0" xfId="0" applyAlignment="1" applyBorder="1" applyFont="1">
      <alignment readingOrder="0" shrinkToFit="0" vertical="center" wrapText="0"/>
    </xf>
    <xf borderId="47" fillId="0" fontId="9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48" fillId="0" fontId="1" numFmtId="0" xfId="0" applyAlignment="1" applyBorder="1" applyFont="1">
      <alignment readingOrder="0" shrinkToFit="0" vertical="center" wrapText="0"/>
    </xf>
    <xf borderId="49" fillId="0" fontId="1" numFmtId="164" xfId="0" applyAlignment="1" applyBorder="1" applyFont="1" applyNumberFormat="1">
      <alignment readingOrder="0" shrinkToFit="0" vertical="center" wrapText="0"/>
    </xf>
    <xf borderId="50" fillId="0" fontId="1" numFmtId="164" xfId="0" applyAlignment="1" applyBorder="1" applyFont="1" applyNumberFormat="1">
      <alignment readingOrder="0" shrinkToFit="0" vertical="center" wrapText="0"/>
    </xf>
    <xf borderId="51" fillId="0" fontId="1" numFmtId="164" xfId="0" applyAlignment="1" applyBorder="1" applyFont="1" applyNumberFormat="1">
      <alignment shrinkToFit="0" vertical="center" wrapText="0"/>
    </xf>
    <xf borderId="47" fillId="0" fontId="10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52" fillId="0" fontId="1" numFmtId="0" xfId="0" applyAlignment="1" applyBorder="1" applyFont="1">
      <alignment readingOrder="0" shrinkToFit="0" vertical="center" wrapText="0"/>
    </xf>
    <xf borderId="53" fillId="0" fontId="1" numFmtId="164" xfId="0" applyAlignment="1" applyBorder="1" applyFont="1" applyNumberFormat="1">
      <alignment shrinkToFit="0" vertical="center" wrapText="0"/>
    </xf>
    <xf borderId="50" fillId="0" fontId="1" numFmtId="164" xfId="0" applyAlignment="1" applyBorder="1" applyFont="1" applyNumberFormat="1">
      <alignment shrinkToFit="0" vertical="center" wrapText="0"/>
    </xf>
    <xf borderId="54" fillId="0" fontId="1" numFmtId="164" xfId="0" applyAlignment="1" applyBorder="1" applyFont="1" applyNumberFormat="1">
      <alignment shrinkToFit="0" vertical="center" wrapText="0"/>
    </xf>
    <xf borderId="55" fillId="0" fontId="1" numFmtId="0" xfId="0" applyAlignment="1" applyBorder="1" applyFont="1">
      <alignment readingOrder="0" shrinkToFit="0" vertical="center" wrapText="0"/>
    </xf>
    <xf borderId="56" fillId="0" fontId="1" numFmtId="164" xfId="0" applyAlignment="1" applyBorder="1" applyFont="1" applyNumberFormat="1">
      <alignment readingOrder="0" shrinkToFit="0" vertical="center" wrapText="0"/>
    </xf>
    <xf borderId="57" fillId="0" fontId="1" numFmtId="164" xfId="0" applyAlignment="1" applyBorder="1" applyFont="1" applyNumberFormat="1">
      <alignment readingOrder="0" shrinkToFit="0" vertical="center" wrapText="0"/>
    </xf>
    <xf borderId="58" fillId="0" fontId="1" numFmtId="164" xfId="0" applyAlignment="1" applyBorder="1" applyFont="1" applyNumberFormat="1">
      <alignment readingOrder="0" shrinkToFit="0" vertical="center" wrapText="0"/>
    </xf>
    <xf borderId="55" fillId="0" fontId="3" numFmtId="0" xfId="0" applyAlignment="1" applyBorder="1" applyFont="1">
      <alignment readingOrder="0" shrinkToFit="0" vertical="center" wrapText="0"/>
    </xf>
    <xf borderId="59" fillId="0" fontId="3" numFmtId="0" xfId="0" applyAlignment="1" applyBorder="1" applyFont="1">
      <alignment readingOrder="0" shrinkToFit="0" vertical="center" wrapText="0"/>
    </xf>
    <xf borderId="60" fillId="0" fontId="3" numFmtId="164" xfId="0" applyAlignment="1" applyBorder="1" applyFont="1" applyNumberFormat="1">
      <alignment readingOrder="0" shrinkToFit="0" vertical="center" wrapText="0"/>
    </xf>
    <xf borderId="61" fillId="0" fontId="3" numFmtId="164" xfId="0" applyAlignment="1" applyBorder="1" applyFont="1" applyNumberFormat="1">
      <alignment shrinkToFit="0" vertical="center" wrapText="0"/>
    </xf>
    <xf borderId="62" fillId="0" fontId="3" numFmtId="164" xfId="0" applyAlignment="1" applyBorder="1" applyFont="1" applyNumberFormat="1">
      <alignment readingOrder="0" shrinkToFit="0" vertical="center" wrapText="0"/>
    </xf>
    <xf borderId="59" fillId="0" fontId="3" numFmtId="0" xfId="0" applyAlignment="1" applyBorder="1" applyFont="1">
      <alignment readingOrder="0" shrinkToFit="0" vertical="center" wrapText="0"/>
    </xf>
    <xf borderId="63" fillId="6" fontId="11" numFmtId="0" xfId="0" applyAlignment="1" applyBorder="1" applyFont="1">
      <alignment readingOrder="0"/>
    </xf>
    <xf borderId="63" fillId="6" fontId="11" numFmtId="0" xfId="0" applyAlignment="1" applyBorder="1" applyFont="1">
      <alignment horizontal="right" readingOrder="0"/>
    </xf>
    <xf borderId="0" fillId="6" fontId="11" numFmtId="0" xfId="0" applyAlignment="1" applyFont="1">
      <alignment horizontal="right" readingOrder="0"/>
    </xf>
    <xf borderId="63" fillId="6" fontId="11" numFmtId="2" xfId="0" applyAlignment="1" applyBorder="1" applyFont="1" applyNumberFormat="1">
      <alignment readingOrder="0"/>
    </xf>
    <xf borderId="63" fillId="6" fontId="11" numFmtId="164" xfId="0" applyAlignment="1" applyBorder="1" applyFont="1" applyNumberFormat="1">
      <alignment readingOrder="0"/>
    </xf>
    <xf borderId="0" fillId="6" fontId="11" numFmtId="0" xfId="0" applyAlignment="1" applyFont="1">
      <alignment readingOrder="0"/>
    </xf>
    <xf borderId="0" fillId="0" fontId="8" numFmtId="0" xfId="0" applyAlignment="1" applyFont="1">
      <alignment readingOrder="0" shrinkToFit="0" vertical="center" wrapText="0"/>
    </xf>
    <xf borderId="0" fillId="0" fontId="9" numFmtId="1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horizontal="right"/>
    </xf>
    <xf borderId="0" fillId="0" fontId="12" numFmtId="0" xfId="0" applyAlignment="1" applyFont="1">
      <alignment readingOrder="0" vertical="top"/>
    </xf>
    <xf borderId="0" fillId="0" fontId="13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vertical="center"/>
    </xf>
    <xf borderId="0" fillId="10" fontId="14" numFmtId="0" xfId="0" applyAlignment="1" applyFill="1" applyFont="1">
      <alignment readingOrder="0" vertical="top"/>
    </xf>
    <xf borderId="0" fillId="11" fontId="15" numFmtId="0" xfId="0" applyAlignment="1" applyFill="1" applyFont="1">
      <alignment horizontal="center" readingOrder="0"/>
    </xf>
    <xf borderId="0" fillId="12" fontId="16" numFmtId="0" xfId="0" applyAlignment="1" applyFill="1" applyFont="1">
      <alignment horizontal="center" readingOrder="0"/>
    </xf>
    <xf borderId="64" fillId="0" fontId="11" numFmtId="0" xfId="0" applyAlignment="1" applyBorder="1" applyFont="1">
      <alignment readingOrder="0"/>
    </xf>
    <xf borderId="64" fillId="0" fontId="1" numFmtId="0" xfId="0" applyAlignment="1" applyBorder="1" applyFont="1">
      <alignment readingOrder="0"/>
    </xf>
    <xf borderId="64" fillId="7" fontId="7" numFmtId="0" xfId="0" applyAlignment="1" applyBorder="1" applyFont="1">
      <alignment readingOrder="0"/>
    </xf>
    <xf borderId="64" fillId="7" fontId="7" numFmtId="164" xfId="0" applyAlignment="1" applyBorder="1" applyFont="1" applyNumberFormat="1">
      <alignment readingOrder="0"/>
    </xf>
    <xf borderId="64" fillId="7" fontId="15" numFmtId="164" xfId="0" applyAlignment="1" applyBorder="1" applyFont="1" applyNumberFormat="1">
      <alignment readingOrder="0"/>
    </xf>
    <xf borderId="64" fillId="7" fontId="15" numFmtId="2" xfId="0" applyBorder="1" applyFont="1" applyNumberFormat="1"/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right" readingOrder="0" shrinkToFit="0" vertical="center" wrapText="0"/>
    </xf>
    <xf borderId="0" fillId="0" fontId="0" numFmtId="4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/>
    </xf>
    <xf borderId="0" fillId="0" fontId="7" numFmtId="2" xfId="0" applyAlignment="1" applyFont="1" applyNumberFormat="1">
      <alignment readingOrder="0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right" shrinkToFit="0" vertical="center" wrapText="0"/>
    </xf>
    <xf borderId="38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vertical="center"/>
    </xf>
    <xf borderId="0" fillId="2" fontId="3" numFmtId="164" xfId="0" applyFont="1" applyNumberFormat="1"/>
    <xf borderId="0" fillId="2" fontId="1" numFmtId="10" xfId="0" applyFont="1" applyNumberFormat="1"/>
    <xf borderId="0" fillId="2" fontId="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3" fontId="3" numFmtId="164" xfId="0" applyFont="1" applyNumberFormat="1"/>
    <xf borderId="0" fillId="3" fontId="1" numFmtId="0" xfId="0" applyFont="1"/>
    <xf borderId="0" fillId="3" fontId="1" numFmtId="10" xfId="0" applyFont="1" applyNumberFormat="1"/>
    <xf borderId="0" fillId="3" fontId="3" numFmtId="0" xfId="0" applyAlignment="1" applyFont="1">
      <alignment readingOrder="0"/>
    </xf>
    <xf borderId="0" fillId="3" fontId="3" numFmtId="164" xfId="0" applyAlignment="1" applyFont="1" applyNumberFormat="1">
      <alignment readingOrder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47" fillId="0" fontId="9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shrinkToFit="0" vertical="center" wrapText="0"/>
    </xf>
    <xf borderId="48" fillId="0" fontId="1" numFmtId="164" xfId="0" applyAlignment="1" applyBorder="1" applyFont="1" applyNumberFormat="1">
      <alignment readingOrder="0" shrinkToFit="0" vertical="center" wrapText="0"/>
    </xf>
    <xf borderId="48" fillId="0" fontId="1" numFmtId="164" xfId="0" applyAlignment="1" applyBorder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horizontal="center" readingOrder="0" shrinkToFit="0" vertical="center" wrapText="0"/>
    </xf>
    <xf borderId="52" fillId="0" fontId="1" numFmtId="164" xfId="0" applyAlignment="1" applyBorder="1" applyFont="1" applyNumberFormat="1">
      <alignment shrinkToFit="0" vertical="center" wrapText="0"/>
    </xf>
    <xf borderId="55" fillId="0" fontId="1" numFmtId="164" xfId="0" applyAlignment="1" applyBorder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65" fillId="0" fontId="3" numFmtId="0" xfId="0" applyAlignment="1" applyBorder="1" applyFont="1">
      <alignment readingOrder="0" shrinkToFit="0" vertical="center" wrapText="0"/>
    </xf>
    <xf borderId="66" fillId="0" fontId="3" numFmtId="164" xfId="0" applyAlignment="1" applyBorder="1" applyFont="1" applyNumberFormat="1">
      <alignment readingOrder="0" shrinkToFit="0" vertical="center" wrapText="0"/>
    </xf>
    <xf borderId="66" fillId="0" fontId="3" numFmtId="0" xfId="0" applyAlignment="1" applyBorder="1" applyFont="1">
      <alignment readingOrder="0" shrinkToFit="0" vertical="center" wrapText="0"/>
    </xf>
    <xf borderId="67" fillId="0" fontId="3" numFmtId="0" xfId="0" applyAlignment="1" applyBorder="1" applyFont="1">
      <alignment readingOrder="0" shrinkToFit="0" vertical="center" wrapText="0"/>
    </xf>
    <xf borderId="68" fillId="0" fontId="3" numFmtId="0" xfId="0" applyAlignment="1" applyBorder="1" applyFont="1">
      <alignment readingOrder="0" shrinkToFit="0" vertical="center" wrapText="0"/>
    </xf>
    <xf borderId="69" fillId="0" fontId="3" numFmtId="164" xfId="0" applyAlignment="1" applyBorder="1" applyFont="1" applyNumberFormat="1">
      <alignment readingOrder="0" shrinkToFit="0" vertical="center" wrapText="0"/>
    </xf>
    <xf borderId="69" fillId="0" fontId="3" numFmtId="0" xfId="0" applyAlignment="1" applyBorder="1" applyFont="1">
      <alignment readingOrder="0" shrinkToFit="0" vertical="center" wrapText="0"/>
    </xf>
    <xf borderId="70" fillId="0" fontId="3" numFmtId="0" xfId="0" applyAlignment="1" applyBorder="1" applyFont="1">
      <alignment readingOrder="0" shrinkToFit="0" vertical="center" wrapText="0"/>
    </xf>
    <xf borderId="0" fillId="13" fontId="1" numFmtId="0" xfId="0" applyAlignment="1" applyFill="1" applyFont="1">
      <alignment readingOrder="0"/>
    </xf>
    <xf borderId="0" fillId="13" fontId="1" numFmtId="0" xfId="0" applyAlignment="1" applyFont="1">
      <alignment readingOrder="0"/>
    </xf>
    <xf borderId="0" fillId="13" fontId="7" numFmtId="0" xfId="0" applyAlignment="1" applyFont="1">
      <alignment readingOrder="0"/>
    </xf>
    <xf borderId="0" fillId="13" fontId="7" numFmtId="164" xfId="0" applyAlignment="1" applyFont="1" applyNumberFormat="1">
      <alignment readingOrder="0"/>
    </xf>
    <xf borderId="0" fillId="13" fontId="7" numFmtId="164" xfId="0" applyFont="1" applyNumberFormat="1"/>
    <xf borderId="0" fillId="13" fontId="7" numFmtId="0" xfId="0" applyAlignment="1" applyFont="1">
      <alignment readingOrder="0"/>
    </xf>
    <xf borderId="0" fillId="13" fontId="15" numFmtId="164" xfId="0" applyAlignment="1" applyFont="1" applyNumberFormat="1">
      <alignment readingOrder="0"/>
    </xf>
    <xf borderId="0" fillId="13" fontId="15" numFmtId="0" xfId="0" applyAlignment="1" applyFont="1">
      <alignment readingOrder="0"/>
    </xf>
    <xf borderId="0" fillId="13" fontId="7" numFmtId="2" xfId="0" applyFont="1" applyNumberFormat="1"/>
    <xf borderId="0" fillId="13" fontId="15" numFmtId="0" xfId="0" applyFont="1"/>
    <xf borderId="0" fillId="13" fontId="1" numFmtId="2" xfId="0" applyFont="1" applyNumberFormat="1"/>
    <xf borderId="0" fillId="13" fontId="1" numFmtId="1" xfId="0" applyAlignment="1" applyFont="1" applyNumberFormat="1">
      <alignment horizontal="right" readingOrder="0"/>
    </xf>
    <xf borderId="0" fillId="0" fontId="8" numFmtId="0" xfId="0" applyAlignment="1" applyFont="1">
      <alignment readingOrder="0" shrinkToFit="0" vertical="center" wrapText="0"/>
    </xf>
    <xf borderId="0" fillId="13" fontId="1" numFmtId="0" xfId="0" applyFont="1"/>
    <xf borderId="0" fillId="13" fontId="3" numFmtId="2" xfId="0" applyFont="1" applyNumberFormat="1"/>
    <xf borderId="0" fillId="13" fontId="1" numFmtId="164" xfId="0" applyFont="1" applyNumberFormat="1"/>
    <xf borderId="0" fillId="13" fontId="1" numFmtId="2" xfId="0" applyFont="1" applyNumberFormat="1"/>
    <xf borderId="0" fillId="0" fontId="1" numFmtId="0" xfId="0" applyAlignment="1" applyFont="1">
      <alignment readingOrder="0"/>
    </xf>
    <xf borderId="0" fillId="13" fontId="1" numFmtId="0" xfId="0" applyFont="1"/>
    <xf borderId="0" fillId="13" fontId="1" numFmtId="0" xfId="0" applyAlignment="1" applyFont="1">
      <alignment readingOrder="0"/>
    </xf>
    <xf borderId="0" fillId="13" fontId="1" numFmtId="1" xfId="0" applyFont="1" applyNumberFormat="1"/>
    <xf borderId="0" fillId="13" fontId="15" numFmtId="0" xfId="0" applyAlignment="1" applyFont="1">
      <alignment readingOrder="0"/>
    </xf>
    <xf borderId="0" fillId="13" fontId="15" numFmtId="4" xfId="0" applyAlignment="1" applyFont="1" applyNumberFormat="1">
      <alignment readingOrder="0"/>
    </xf>
    <xf borderId="0" fillId="13" fontId="1" numFmtId="0" xfId="0" applyAlignment="1" applyFont="1">
      <alignment horizontal="right" readingOrder="0"/>
    </xf>
    <xf borderId="0" fillId="13" fontId="1" numFmtId="2" xfId="0" applyAlignment="1" applyFont="1" applyNumberFormat="1">
      <alignment horizontal="right" readingOrder="0"/>
    </xf>
    <xf borderId="0" fillId="13" fontId="3" numFmtId="0" xfId="0" applyFont="1"/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  <xf borderId="59" fillId="0" fontId="3" numFmtId="164" xfId="0" applyAlignment="1" applyBorder="1" applyFont="1" applyNumberFormat="1">
      <alignment readingOrder="0" shrinkToFit="0" vertical="center" wrapText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right" readingOrder="0" shrinkToFit="0" vertical="center" wrapText="0"/>
    </xf>
    <xf borderId="63" fillId="0" fontId="11" numFmtId="0" xfId="0" applyAlignment="1" applyBorder="1" applyFont="1">
      <alignment readingOrder="0"/>
    </xf>
    <xf borderId="63" fillId="0" fontId="11" numFmtId="0" xfId="0" applyAlignment="1" applyBorder="1" applyFont="1">
      <alignment horizontal="right" readingOrder="0"/>
    </xf>
    <xf borderId="63" fillId="0" fontId="11" numFmtId="2" xfId="0" applyAlignment="1" applyBorder="1" applyFont="1" applyNumberFormat="1">
      <alignment readingOrder="0"/>
    </xf>
    <xf borderId="63" fillId="0" fontId="11" numFmtId="164" xfId="0" applyAlignment="1" applyBorder="1" applyFont="1" applyNumberFormat="1">
      <alignment readingOrder="0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71" fillId="0" fontId="11" numFmtId="0" xfId="0" applyAlignment="1" applyBorder="1" applyFont="1">
      <alignment readingOrder="0"/>
    </xf>
    <xf borderId="71" fillId="0" fontId="1" numFmtId="0" xfId="0" applyAlignment="1" applyBorder="1" applyFont="1">
      <alignment readingOrder="0"/>
    </xf>
    <xf borderId="71" fillId="7" fontId="7" numFmtId="0" xfId="0" applyAlignment="1" applyBorder="1" applyFont="1">
      <alignment readingOrder="0"/>
    </xf>
    <xf borderId="71" fillId="7" fontId="7" numFmtId="164" xfId="0" applyBorder="1" applyFont="1" applyNumberFormat="1"/>
    <xf borderId="71" fillId="7" fontId="15" numFmtId="2" xfId="0" applyBorder="1" applyFont="1" applyNumberFormat="1"/>
    <xf borderId="0" fillId="0" fontId="15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72" fillId="14" fontId="16" numFmtId="0" xfId="0" applyAlignment="1" applyBorder="1" applyFill="1" applyFont="1">
      <alignment readingOrder="0"/>
    </xf>
    <xf borderId="72" fillId="14" fontId="17" numFmtId="0" xfId="0" applyBorder="1" applyFont="1"/>
    <xf borderId="72" fillId="14" fontId="16" numFmtId="0" xfId="0" applyAlignment="1" applyBorder="1" applyFont="1">
      <alignment horizontal="right" readingOrder="0"/>
    </xf>
    <xf borderId="72" fillId="14" fontId="17" numFmtId="0" xfId="0" applyAlignment="1" applyBorder="1" applyFont="1">
      <alignment horizontal="right"/>
    </xf>
    <xf borderId="73" fillId="14" fontId="16" numFmtId="0" xfId="0" applyAlignment="1" applyBorder="1" applyFont="1">
      <alignment horizontal="right" readingOrder="0"/>
    </xf>
    <xf borderId="73" fillId="7" fontId="1" numFmtId="0" xfId="0" applyAlignment="1" applyBorder="1" applyFont="1">
      <alignment readingOrder="0"/>
    </xf>
    <xf borderId="73" fillId="7" fontId="1" numFmtId="1" xfId="0" applyBorder="1" applyFont="1" applyNumberFormat="1"/>
    <xf borderId="0" fillId="0" fontId="1" numFmtId="0" xfId="0" applyAlignment="1" applyFont="1">
      <alignment horizontal="center" readingOrder="0" vertical="center"/>
    </xf>
    <xf borderId="73" fillId="0" fontId="1" numFmtId="0" xfId="0" applyAlignment="1" applyBorder="1" applyFont="1">
      <alignment readingOrder="0"/>
    </xf>
    <xf borderId="73" fillId="0" fontId="1" numFmtId="0" xfId="0" applyBorder="1" applyFont="1"/>
    <xf borderId="73" fillId="0" fontId="1" numFmtId="1" xfId="0" applyBorder="1" applyFont="1" applyNumberFormat="1"/>
    <xf borderId="73" fillId="7" fontId="1" numFmtId="0" xfId="0" applyBorder="1" applyFont="1"/>
    <xf borderId="73" fillId="6" fontId="1" numFmtId="1" xfId="0" applyBorder="1" applyFont="1" applyNumberFormat="1"/>
    <xf borderId="73" fillId="7" fontId="1" numFmtId="1" xfId="0" applyAlignment="1" applyBorder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8" numFmtId="0" xfId="0" applyAlignment="1" applyFont="1">
      <alignment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74" fillId="0" fontId="1" numFmtId="0" xfId="0" applyAlignment="1" applyBorder="1" applyFont="1">
      <alignment readingOrder="0"/>
    </xf>
    <xf borderId="74" fillId="0" fontId="1" numFmtId="9" xfId="0" applyAlignment="1" applyBorder="1" applyFont="1" applyNumberFormat="1">
      <alignment readingOrder="0"/>
    </xf>
    <xf borderId="75" fillId="0" fontId="19" numFmtId="0" xfId="0" applyAlignment="1" applyBorder="1" applyFont="1">
      <alignment readingOrder="0"/>
    </xf>
    <xf borderId="75" fillId="0" fontId="19" numFmtId="164" xfId="0" applyBorder="1" applyFont="1" applyNumberFormat="1"/>
    <xf borderId="75" fillId="0" fontId="20" numFmtId="0" xfId="0" applyAlignment="1" applyBorder="1" applyFont="1">
      <alignment vertical="bottom"/>
    </xf>
    <xf borderId="75" fillId="0" fontId="20" numFmtId="164" xfId="0" applyAlignment="1" applyBorder="1" applyFont="1" applyNumberFormat="1">
      <alignment horizontal="right" vertical="bottom"/>
    </xf>
    <xf borderId="75" fillId="0" fontId="20" numFmtId="0" xfId="0" applyAlignment="1" applyBorder="1" applyFont="1">
      <alignment readingOrder="0" vertical="bottom"/>
    </xf>
    <xf borderId="76" fillId="0" fontId="21" numFmtId="0" xfId="0" applyAlignment="1" applyBorder="1" applyFont="1">
      <alignment readingOrder="0"/>
    </xf>
    <xf borderId="76" fillId="0" fontId="21" numFmtId="0" xfId="0" applyBorder="1" applyFont="1"/>
    <xf borderId="47" fillId="0" fontId="1" numFmtId="0" xfId="0" applyAlignment="1" applyBorder="1" applyFont="1">
      <alignment horizontal="left" readingOrder="0" shrinkToFit="0" vertical="center" wrapText="0"/>
    </xf>
    <xf borderId="47" fillId="0" fontId="1" numFmtId="49" xfId="0" applyAlignment="1" applyBorder="1" applyFont="1" applyNumberFormat="1">
      <alignment horizontal="left" readingOrder="0" shrinkToFit="0" vertical="center" wrapText="0"/>
    </xf>
    <xf borderId="47" fillId="0" fontId="1" numFmtId="0" xfId="0" applyAlignment="1" applyBorder="1" applyFont="1">
      <alignment readingOrder="0" shrinkToFit="0" vertical="center" wrapText="0"/>
    </xf>
    <xf borderId="47" fillId="0" fontId="1" numFmtId="0" xfId="0" applyAlignment="1" applyBorder="1" applyFont="1">
      <alignment shrinkToFit="0" vertical="center" wrapText="0"/>
    </xf>
    <xf borderId="47" fillId="0" fontId="1" numFmtId="0" xfId="0" applyAlignment="1" applyBorder="1" applyFont="1">
      <alignment readingOrder="0" shrinkToFit="0" vertical="center" wrapText="0"/>
    </xf>
    <xf borderId="47" fillId="0" fontId="1" numFmtId="0" xfId="0" applyAlignment="1" applyBorder="1" applyFont="1">
      <alignment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3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15" fontId="1" numFmtId="0" xfId="0" applyAlignment="1" applyFill="1" applyFont="1">
      <alignment shrinkToFit="0" vertical="center" wrapText="0"/>
    </xf>
    <xf borderId="74" fillId="0" fontId="22" numFmtId="0" xfId="0" applyAlignment="1" applyBorder="1" applyFont="1">
      <alignment vertical="bottom"/>
    </xf>
    <xf borderId="74" fillId="0" fontId="18" numFmtId="0" xfId="0" applyAlignment="1" applyBorder="1" applyFont="1">
      <alignment horizontal="right" vertical="bottom"/>
    </xf>
    <xf borderId="74" fillId="0" fontId="23" numFmtId="0" xfId="0" applyAlignment="1" applyBorder="1" applyFont="1">
      <alignment vertical="bottom"/>
    </xf>
    <xf borderId="0" fillId="0" fontId="1" numFmtId="2" xfId="0" applyAlignment="1" applyFont="1" applyNumberFormat="1">
      <alignment readingOrder="0" shrinkToFit="0" vertical="center" wrapText="0"/>
    </xf>
    <xf borderId="0" fillId="6" fontId="1" numFmtId="2" xfId="0" applyAlignment="1" applyFont="1" applyNumberFormat="1">
      <alignment shrinkToFit="0" vertical="center" wrapText="0"/>
    </xf>
    <xf borderId="77" fillId="0" fontId="1" numFmtId="0" xfId="0" applyAlignment="1" applyBorder="1" applyFont="1">
      <alignment readingOrder="0" shrinkToFit="0" vertical="center" wrapText="0"/>
    </xf>
    <xf borderId="78" fillId="0" fontId="1" numFmtId="2" xfId="0" applyAlignment="1" applyBorder="1" applyFont="1" applyNumberFormat="1">
      <alignment shrinkToFit="0" vertical="center" wrapText="0"/>
    </xf>
    <xf borderId="79" fillId="0" fontId="1" numFmtId="0" xfId="0" applyAlignment="1" applyBorder="1" applyFont="1">
      <alignment horizontal="right" readingOrder="0" shrinkToFit="0" vertical="center" wrapText="0"/>
    </xf>
    <xf borderId="80" fillId="0" fontId="1" numFmtId="0" xfId="0" applyAlignment="1" applyBorder="1" applyFont="1">
      <alignment readingOrder="0" shrinkToFit="0" vertical="center" wrapText="0"/>
    </xf>
    <xf borderId="81" fillId="0" fontId="1" numFmtId="2" xfId="0" applyAlignment="1" applyBorder="1" applyFont="1" applyNumberFormat="1">
      <alignment shrinkToFit="0" vertical="center" wrapText="0"/>
    </xf>
    <xf borderId="82" fillId="0" fontId="1" numFmtId="0" xfId="0" applyAlignment="1" applyBorder="1" applyFont="1">
      <alignment horizontal="right" readingOrder="0" shrinkToFit="0" vertical="center" wrapText="0"/>
    </xf>
    <xf borderId="83" fillId="0" fontId="1" numFmtId="0" xfId="0" applyAlignment="1" applyBorder="1" applyFont="1">
      <alignment readingOrder="0" shrinkToFit="0" vertical="center" wrapText="0"/>
    </xf>
    <xf borderId="84" fillId="0" fontId="1" numFmtId="2" xfId="0" applyAlignment="1" applyBorder="1" applyFont="1" applyNumberFormat="1">
      <alignment readingOrder="0" shrinkToFit="0" vertical="center" wrapText="0"/>
    </xf>
    <xf borderId="85" fillId="0" fontId="1" numFmtId="0" xfId="0" applyAlignment="1" applyBorder="1" applyFont="1">
      <alignment horizontal="right"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86" fillId="0" fontId="1" numFmtId="0" xfId="0" applyAlignment="1" applyBorder="1" applyFont="1">
      <alignment readingOrder="0"/>
    </xf>
    <xf borderId="87" fillId="0" fontId="2" numFmtId="0" xfId="0" applyBorder="1" applyFont="1"/>
    <xf borderId="88" fillId="0" fontId="2" numFmtId="0" xfId="0" applyBorder="1" applyFont="1"/>
    <xf borderId="89" fillId="0" fontId="2" numFmtId="0" xfId="0" applyBorder="1" applyFont="1"/>
    <xf borderId="90" fillId="0" fontId="2" numFmtId="0" xfId="0" applyBorder="1" applyFont="1"/>
    <xf borderId="91" fillId="0" fontId="2" numFmtId="0" xfId="0" applyBorder="1" applyFont="1"/>
    <xf borderId="92" fillId="0" fontId="2" numFmtId="0" xfId="0" applyBorder="1" applyFont="1"/>
    <xf borderId="93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5" fontId="3" numFmtId="0" xfId="0" applyAlignment="1" applyFont="1">
      <alignment horizontal="center"/>
    </xf>
    <xf borderId="0" fillId="9" fontId="3" numFmtId="0" xfId="0" applyAlignment="1" applyFont="1">
      <alignment horizontal="center" readingOrder="0" vertical="center"/>
    </xf>
    <xf borderId="0" fillId="0" fontId="1" numFmtId="1" xfId="0" applyAlignment="1" applyFont="1" applyNumberFormat="1">
      <alignment readingOrder="0"/>
    </xf>
    <xf borderId="0" fillId="16" fontId="1" numFmtId="2" xfId="0" applyFill="1" applyFont="1" applyNumberFormat="1"/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D4D7EF"/>
          <bgColor rgb="FFD4D7EF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EED0CE"/>
          <bgColor rgb="FFEED0CE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375BD8"/>
          <bgColor rgb="FF375BD8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047E67"/>
          <bgColor rgb="FF047E67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E6CDD0"/>
          <bgColor rgb="FFE6CDD0"/>
        </patternFill>
      </fill>
      <border/>
    </dxf>
  </dxfs>
  <tableStyles count="33">
    <tableStyle count="5" pivot="0" name="Return of investment 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On-grid System sizing calculato-style">
      <tableStyleElement dxfId="6" type="headerRow"/>
      <tableStyleElement dxfId="2" type="firstRowStripe"/>
      <tableStyleElement dxfId="3" type="secondRowStripe"/>
      <tableStyleElement dxfId="7" type="totalRow"/>
      <tableStyleElement dxfId="5" size="0" type="wholeTable"/>
    </tableStyle>
    <tableStyle count="5" pivot="0" name="On-grid System sizing calculato-style 2">
      <tableStyleElement dxfId="8" type="headerRow"/>
      <tableStyleElement dxfId="2" type="firstRowStripe"/>
      <tableStyleElement dxfId="3" type="secondRowStripe"/>
      <tableStyleElement dxfId="9" type="totalRow"/>
      <tableStyleElement dxfId="5" size="0" type="wholeTable"/>
    </tableStyle>
    <tableStyle count="4" pivot="0" name="On-grid System sizing calculato-style 3">
      <tableStyleElement dxfId="10" type="headerRow"/>
      <tableStyleElement dxfId="2" type="firstRowStripe"/>
      <tableStyleElement dxfId="3" type="secondRowStripe"/>
      <tableStyleElement dxfId="5" size="0" type="wholeTable"/>
    </tableStyle>
    <tableStyle count="4" pivot="0" name="On-grid System sizing calculato-style 4">
      <tableStyleElement dxfId="11" type="headerRow"/>
      <tableStyleElement dxfId="2" type="firstRowStripe"/>
      <tableStyleElement dxfId="3" type="secondRowStripe"/>
      <tableStyleElement dxfId="5" size="0" type="wholeTable"/>
    </tableStyle>
    <tableStyle count="4" pivot="0" name="On-grid System sizing calculato-style 5">
      <tableStyleElement dxfId="11" type="headerRow"/>
      <tableStyleElement dxfId="2" type="firstRowStripe"/>
      <tableStyleElement dxfId="3" type="secondRowStripe"/>
      <tableStyleElement dxfId="5" size="0" type="wholeTable"/>
    </tableStyle>
    <tableStyle count="5" pivot="0" name="Commercial RoI 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Commercial_sizing-style">
      <tableStyleElement dxfId="6" type="headerRow"/>
      <tableStyleElement dxfId="2" type="firstRowStripe"/>
      <tableStyleElement dxfId="3" type="secondRowStripe"/>
      <tableStyleElement dxfId="7" type="totalRow"/>
      <tableStyleElement dxfId="5" size="0" type="wholeTable"/>
    </tableStyle>
    <tableStyle count="5" pivot="0" name="Commercial_sizing-style 2">
      <tableStyleElement dxfId="8" type="headerRow"/>
      <tableStyleElement dxfId="2" type="firstRowStripe"/>
      <tableStyleElement dxfId="3" type="secondRowStripe"/>
      <tableStyleElement dxfId="9" type="totalRow"/>
      <tableStyleElement dxfId="5" size="0" type="wholeTable"/>
    </tableStyle>
    <tableStyle count="2" pivot="0" name="Commercial_sizing-style 3">
      <tableStyleElement dxfId="2" type="firstRowStripe"/>
      <tableStyleElement dxfId="3" type="secondRowStripe"/>
    </tableStyle>
    <tableStyle count="4" pivot="0" name="Commercial_sizing-style 4">
      <tableStyleElement dxfId="10" type="headerRow"/>
      <tableStyleElement dxfId="2" type="firstRowStripe"/>
      <tableStyleElement dxfId="3" type="secondRowStripe"/>
      <tableStyleElement dxfId="5" size="0" type="wholeTable"/>
    </tableStyle>
    <tableStyle count="5" pivot="0" name="Commercial_sizing-style 5">
      <tableStyleElement dxfId="6" type="headerRow"/>
      <tableStyleElement dxfId="2" type="firstRowStripe"/>
      <tableStyleElement dxfId="3" type="secondRowStripe"/>
      <tableStyleElement dxfId="7" type="totalRow"/>
      <tableStyleElement dxfId="5" size="0" type="wholeTable"/>
    </tableStyle>
    <tableStyle count="5" pivot="0" name="Commercial_sizing-style 6">
      <tableStyleElement dxfId="8" type="headerRow"/>
      <tableStyleElement dxfId="2" type="firstRowStripe"/>
      <tableStyleElement dxfId="3" type="secondRowStripe"/>
      <tableStyleElement dxfId="9" type="totalRow"/>
      <tableStyleElement dxfId="5" size="0" type="wholeTable"/>
    </tableStyle>
    <tableStyle count="2" pivot="0" name="Commercial_sizing-style 7">
      <tableStyleElement dxfId="2" type="firstRowStripe"/>
      <tableStyleElement dxfId="3" type="secondRowStripe"/>
    </tableStyle>
    <tableStyle count="4" pivot="0" name="Commercial_sizing-style 8">
      <tableStyleElement dxfId="10" type="headerRow"/>
      <tableStyleElement dxfId="2" type="firstRowStripe"/>
      <tableStyleElement dxfId="3" type="secondRowStripe"/>
      <tableStyleElement dxfId="5" size="0" type="wholeTable"/>
    </tableStyle>
    <tableStyle count="5" pivot="0" name="Hybrid system sizing calculator-style">
      <tableStyleElement dxfId="6" type="headerRow"/>
      <tableStyleElement dxfId="2" type="firstRowStripe"/>
      <tableStyleElement dxfId="3" type="secondRowStripe"/>
      <tableStyleElement dxfId="7" type="totalRow"/>
      <tableStyleElement dxfId="5" size="0" type="wholeTable"/>
    </tableStyle>
    <tableStyle count="5" pivot="0" name="Hybrid system sizing calculator-style 2">
      <tableStyleElement dxfId="8" type="headerRow"/>
      <tableStyleElement dxfId="2" type="firstRowStripe"/>
      <tableStyleElement dxfId="3" type="secondRowStripe"/>
      <tableStyleElement dxfId="9" type="totalRow"/>
      <tableStyleElement dxfId="5" size="0" type="wholeTable"/>
    </tableStyle>
    <tableStyle count="4" pivot="0" name="Hybrid system sizing calculator-style 3">
      <tableStyleElement dxfId="10" type="headerRow"/>
      <tableStyleElement dxfId="2" type="firstRowStripe"/>
      <tableStyleElement dxfId="3" type="secondRowStripe"/>
      <tableStyleElement dxfId="5" size="0" type="wholeTable"/>
    </tableStyle>
    <tableStyle count="5" pivot="0" name="Hybrid system sizing calculator-style 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Hybrid system sizing calculator-style 5">
      <tableStyleElement dxfId="11" type="headerRow"/>
      <tableStyleElement dxfId="2" type="firstRowStripe"/>
      <tableStyleElement dxfId="3" type="secondRowStripe"/>
      <tableStyleElement dxfId="5" size="0" type="wholeTable"/>
    </tableStyle>
    <tableStyle count="2" pivot="0" name="Hybrid system sizing calculator-style 6">
      <tableStyleElement dxfId="2" type="firstRowStripe"/>
      <tableStyleElement dxfId="3" type="secondRowStripe"/>
    </tableStyle>
    <tableStyle count="4" pivot="0" name="Hybrid system sizing calculator-style 7">
      <tableStyleElement dxfId="11" type="headerRow"/>
      <tableStyleElement dxfId="2" type="firstRowStripe"/>
      <tableStyleElement dxfId="3" type="secondRowStripe"/>
      <tableStyleElement dxfId="5" size="0" type="wholeTable"/>
    </tableStyle>
    <tableStyle count="4" pivot="0" name="DCDB &amp; ACDB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DCDB &amp; ACDB-style 2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Battery sizing-style">
      <tableStyleElement dxfId="12" type="headerRow"/>
      <tableStyleElement dxfId="2" type="firstRowStripe"/>
      <tableStyleElement dxfId="3" type="secondRowStripe"/>
      <tableStyleElement dxfId="5" size="0" type="wholeTable"/>
    </tableStyle>
    <tableStyle count="4" pivot="0" name="Battery sizing-style 2">
      <tableStyleElement dxfId="13" type="headerRow"/>
      <tableStyleElement dxfId="2" type="firstRowStripe"/>
      <tableStyleElement dxfId="3" type="secondRowStripe"/>
      <tableStyleElement dxfId="5" size="0" type="wholeTable"/>
    </tableStyle>
    <tableStyle count="4" pivot="0" name="Wiring 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Wiring -style 2">
      <tableStyleElement dxfId="14" type="headerRow"/>
      <tableStyleElement dxfId="2" type="firstRowStripe"/>
      <tableStyleElement dxfId="3" type="secondRowStripe"/>
      <tableStyleElement dxfId="5" size="0" type="wholeTable"/>
    </tableStyle>
    <tableStyle count="4" pivot="0" name="Wiring -style 3">
      <tableStyleElement dxfId="14" type="headerRow"/>
      <tableStyleElement dxfId="2" type="firstRowStripe"/>
      <tableStyleElement dxfId="3" type="secondRowStripe"/>
      <tableStyleElement dxfId="5" size="0" type="wholeTable"/>
    </tableStyle>
    <tableStyle count="4" pivot="0" name="Wiring -style 4">
      <tableStyleElement dxfId="12" type="headerRow"/>
      <tableStyleElement dxfId="2" type="firstRowStripe"/>
      <tableStyleElement dxfId="3" type="secondRowStripe"/>
      <tableStyleElement dxfId="5" size="0" type="wholeTable"/>
    </tableStyle>
    <tableStyle count="4" pivot="0" name="Wiring -style 5">
      <tableStyleElement dxfId="12" type="headerRow"/>
      <tableStyleElement dxfId="2" type="firstRowStripe"/>
      <tableStyleElement dxfId="3" type="secondRowStripe"/>
      <tableStyleElement dxfId="5" size="0" type="wholeTable"/>
    </tableStyle>
    <tableStyle count="4" pivot="0" name="Missmatch loss -style">
      <tableStyleElement dxfId="15" type="headerRow"/>
      <tableStyleElement dxfId="2" type="firstRowStripe"/>
      <tableStyleElement dxfId="3" type="secondRowStripe"/>
      <tableStyleElement dxfId="5" size="0" type="wholeTable"/>
    </tableStyle>
    <tableStyle count="5" pivot="0" name="Missmatch loss -style 2">
      <tableStyleElement dxfId="14" type="headerRow"/>
      <tableStyleElement dxfId="2" type="firstRowStripe"/>
      <tableStyleElement dxfId="3" type="secondRowStripe"/>
      <tableStyleElement dxfId="16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'Return of investment '!$E$37:$E$56</c:f>
            </c:strRef>
          </c:cat>
          <c:val>
            <c:numRef>
              <c:f>'Return of investment '!$E$37:$E$56</c:f>
              <c:numCache/>
            </c:numRef>
          </c:val>
        </c:ser>
        <c:ser>
          <c:idx val="1"/>
          <c:order val="1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'Return of investment '!$E$37:$E$56</c:f>
            </c:strRef>
          </c:cat>
          <c:val>
            <c:numRef>
              <c:f>'Return of investment '!$M$37:$M$56</c:f>
              <c:numCache/>
            </c:numRef>
          </c:val>
        </c:ser>
        <c:axId val="308141840"/>
        <c:axId val="704511293"/>
      </c:barChart>
      <c:catAx>
        <c:axId val="30814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Years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04511293"/>
      </c:catAx>
      <c:valAx>
        <c:axId val="7045112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INR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0814184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244D65">
                <a:alpha val="30000"/>
              </a:srgbClr>
            </a:solidFill>
            <a:ln cmpd="sng">
              <a:solidFill>
                <a:srgbClr val="244D65">
                  <a:alpha val="100000"/>
                </a:srgbClr>
              </a:solidFill>
            </a:ln>
          </c:spPr>
          <c:cat>
            <c:strRef>
              <c:f>'Return of investment '!$E$37:$E$56</c:f>
            </c:strRef>
          </c:cat>
          <c:val>
            <c:numRef>
              <c:f>'Return of investment '!$K$37:$K$57</c:f>
              <c:numCache/>
            </c:numRef>
          </c:val>
        </c:ser>
        <c:ser>
          <c:idx val="1"/>
          <c:order val="1"/>
          <c:spPr>
            <a:solidFill>
              <a:schemeClr val="accent4">
                <a:alpha val="30000"/>
              </a:schemeClr>
            </a:solidFill>
            <a:ln cmpd="sng">
              <a:solidFill>
                <a:schemeClr val="accent4"/>
              </a:solidFill>
            </a:ln>
          </c:spPr>
          <c:cat>
            <c:strRef>
              <c:f>'Return of investment '!$E$37:$E$56</c:f>
            </c:strRef>
          </c:cat>
          <c:val>
            <c:numRef>
              <c:f>'Return of investment '!$L$37:$L$56</c:f>
              <c:numCache/>
            </c:numRef>
          </c:val>
        </c:ser>
        <c:axId val="143801417"/>
        <c:axId val="1477173677"/>
      </c:areaChart>
      <c:catAx>
        <c:axId val="143801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77173677"/>
      </c:catAx>
      <c:valAx>
        <c:axId val="14771736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INR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80141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244D65"/>
            </a:solidFill>
            <a:ln cmpd="sng">
              <a:solidFill>
                <a:srgbClr val="000000"/>
              </a:solidFill>
            </a:ln>
          </c:spPr>
          <c:cat>
            <c:strRef>
              <c:f>'Return of investment '!$E$37:$E$56</c:f>
            </c:strRef>
          </c:cat>
          <c:val>
            <c:numRef>
              <c:f>'Return of investment '!$H$36:$H$56</c:f>
              <c:numCache/>
            </c:numRef>
          </c:val>
        </c:ser>
        <c:ser>
          <c:idx val="1"/>
          <c:order val="1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'Return of investment '!$E$37:$E$56</c:f>
            </c:strRef>
          </c:cat>
          <c:val>
            <c:numRef>
              <c:f>'Return of investment '!$I$36:$I$56</c:f>
              <c:numCache/>
            </c:numRef>
          </c:val>
        </c:ser>
        <c:ser>
          <c:idx val="2"/>
          <c:order val="2"/>
          <c:cat>
            <c:strRef>
              <c:f>'Return of investment '!$E$37:$E$56</c:f>
            </c:strRef>
          </c:cat>
          <c:val>
            <c:numRef>
              <c:f>'Return of investment '!$P$68</c:f>
              <c:numCache/>
            </c:numRef>
          </c:val>
        </c:ser>
        <c:ser>
          <c:idx val="3"/>
          <c:order val="3"/>
          <c:cat>
            <c:strRef>
              <c:f>'Return of investment '!$E$37:$E$56</c:f>
            </c:strRef>
          </c:cat>
          <c:val>
            <c:numRef>
              <c:f>'Return of investment '!$P$68</c:f>
              <c:numCache/>
            </c:numRef>
          </c:val>
        </c:ser>
        <c:axId val="751353637"/>
        <c:axId val="936864732"/>
      </c:barChart>
      <c:catAx>
        <c:axId val="751353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6864732"/>
      </c:catAx>
      <c:valAx>
        <c:axId val="936864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INR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35363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'Commercial RoI '!$E$37:$E$56</c:f>
            </c:strRef>
          </c:cat>
          <c:val>
            <c:numRef>
              <c:f>'Commercial RoI '!$E$37:$E$56</c:f>
              <c:numCache/>
            </c:numRef>
          </c:val>
        </c:ser>
        <c:ser>
          <c:idx val="1"/>
          <c:order val="1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'Commercial RoI '!$E$37:$E$56</c:f>
            </c:strRef>
          </c:cat>
          <c:val>
            <c:numRef>
              <c:f>'Commercial RoI '!$M$37:$M$56</c:f>
              <c:numCache/>
            </c:numRef>
          </c:val>
        </c:ser>
        <c:axId val="1545839244"/>
        <c:axId val="1492442900"/>
      </c:barChart>
      <c:catAx>
        <c:axId val="1545839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Years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92442900"/>
      </c:catAx>
      <c:valAx>
        <c:axId val="1492442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INR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5839244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244D65">
                <a:alpha val="30000"/>
              </a:srgbClr>
            </a:solidFill>
            <a:ln cmpd="sng">
              <a:solidFill>
                <a:srgbClr val="244D65">
                  <a:alpha val="100000"/>
                </a:srgbClr>
              </a:solidFill>
            </a:ln>
          </c:spPr>
          <c:cat>
            <c:strRef>
              <c:f>'Commercial RoI '!$E$37:$E$56</c:f>
            </c:strRef>
          </c:cat>
          <c:val>
            <c:numRef>
              <c:f>'Commercial RoI '!$K$37:$K$57</c:f>
              <c:numCache/>
            </c:numRef>
          </c:val>
        </c:ser>
        <c:ser>
          <c:idx val="1"/>
          <c:order val="1"/>
          <c:spPr>
            <a:solidFill>
              <a:schemeClr val="accent4">
                <a:alpha val="30000"/>
              </a:schemeClr>
            </a:solidFill>
            <a:ln cmpd="sng">
              <a:solidFill>
                <a:schemeClr val="accent4"/>
              </a:solidFill>
            </a:ln>
          </c:spPr>
          <c:cat>
            <c:strRef>
              <c:f>'Commercial RoI '!$E$37:$E$56</c:f>
            </c:strRef>
          </c:cat>
          <c:val>
            <c:numRef>
              <c:f>'Commercial RoI '!$L$37:$L$56</c:f>
              <c:numCache/>
            </c:numRef>
          </c:val>
        </c:ser>
        <c:axId val="1708891253"/>
        <c:axId val="1952111719"/>
      </c:areaChart>
      <c:catAx>
        <c:axId val="1708891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52111719"/>
      </c:catAx>
      <c:valAx>
        <c:axId val="1952111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INR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8891253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244D65"/>
            </a:solidFill>
            <a:ln cmpd="sng">
              <a:solidFill>
                <a:srgbClr val="000000"/>
              </a:solidFill>
            </a:ln>
          </c:spPr>
          <c:cat>
            <c:strRef>
              <c:f>'Commercial RoI '!$E$37:$E$56</c:f>
            </c:strRef>
          </c:cat>
          <c:val>
            <c:numRef>
              <c:f>'Commercial RoI '!$H$36:$H$56</c:f>
              <c:numCache/>
            </c:numRef>
          </c:val>
        </c:ser>
        <c:ser>
          <c:idx val="1"/>
          <c:order val="1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'Commercial RoI '!$E$37:$E$56</c:f>
            </c:strRef>
          </c:cat>
          <c:val>
            <c:numRef>
              <c:f>'Commercial RoI '!$I$36:$I$56</c:f>
              <c:numCache/>
            </c:numRef>
          </c:val>
        </c:ser>
        <c:ser>
          <c:idx val="2"/>
          <c:order val="2"/>
          <c:cat>
            <c:strRef>
              <c:f>'Commercial RoI '!$E$37:$E$56</c:f>
            </c:strRef>
          </c:cat>
          <c:val>
            <c:numRef>
              <c:f>'Commercial RoI '!$P$68</c:f>
              <c:numCache/>
            </c:numRef>
          </c:val>
        </c:ser>
        <c:ser>
          <c:idx val="3"/>
          <c:order val="3"/>
          <c:cat>
            <c:strRef>
              <c:f>'Commercial RoI '!$E$37:$E$56</c:f>
            </c:strRef>
          </c:cat>
          <c:val>
            <c:numRef>
              <c:f>'Commercial RoI '!$P$68</c:f>
              <c:numCache/>
            </c:numRef>
          </c:val>
        </c:ser>
        <c:axId val="1805435589"/>
        <c:axId val="1246610270"/>
      </c:barChart>
      <c:catAx>
        <c:axId val="1805435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6610270"/>
      </c:catAx>
      <c:valAx>
        <c:axId val="1246610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INR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435589"/>
      </c:valAx>
    </c:plotArea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62</xdr:row>
      <xdr:rowOff>9525</xdr:rowOff>
    </xdr:from>
    <xdr:ext cx="5715000" cy="3571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1181100</xdr:colOff>
      <xdr:row>62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83</xdr:row>
      <xdr:rowOff>152400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31</xdr:row>
      <xdr:rowOff>152400</xdr:rowOff>
    </xdr:from>
    <xdr:ext cx="98107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70</xdr:row>
      <xdr:rowOff>152400</xdr:rowOff>
    </xdr:from>
    <xdr:ext cx="98107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485775</xdr:colOff>
      <xdr:row>70</xdr:row>
      <xdr:rowOff>152400</xdr:rowOff>
    </xdr:from>
    <xdr:ext cx="98107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409575</xdr:colOff>
      <xdr:row>70</xdr:row>
      <xdr:rowOff>152400</xdr:rowOff>
    </xdr:from>
    <xdr:ext cx="98107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108</xdr:row>
      <xdr:rowOff>171450</xdr:rowOff>
    </xdr:from>
    <xdr:ext cx="98107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62</xdr:row>
      <xdr:rowOff>9525</xdr:rowOff>
    </xdr:from>
    <xdr:ext cx="5715000" cy="35718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1181100</xdr:colOff>
      <xdr:row>62</xdr:row>
      <xdr:rowOff>28575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83</xdr:row>
      <xdr:rowOff>152400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31</xdr:row>
      <xdr:rowOff>152400</xdr:rowOff>
    </xdr:from>
    <xdr:ext cx="98107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70</xdr:row>
      <xdr:rowOff>152400</xdr:rowOff>
    </xdr:from>
    <xdr:ext cx="98107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485775</xdr:colOff>
      <xdr:row>70</xdr:row>
      <xdr:rowOff>152400</xdr:rowOff>
    </xdr:from>
    <xdr:ext cx="98107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409575</xdr:colOff>
      <xdr:row>70</xdr:row>
      <xdr:rowOff>152400</xdr:rowOff>
    </xdr:from>
    <xdr:ext cx="98107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108</xdr:row>
      <xdr:rowOff>171450</xdr:rowOff>
    </xdr:from>
    <xdr:ext cx="981075" cy="1085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eleted user" id="{02c1e036-9fcc-419a-a625-c22bf5a105be}" providerId="google-sheets"/>
</x18tc:personList>
</file>

<file path=xl/tables/table1.xml><?xml version="1.0" encoding="utf-8"?>
<table xmlns="http://schemas.openxmlformats.org/spreadsheetml/2006/main" totalsRowCount="1" ref="E36:O57" displayName="Table6" name="Table6" id="1">
  <tableColumns count="11">
    <tableColumn totalsRowLabel="Total " name="Years " id="1"/>
    <tableColumn totalsRowFunction="custom" name="Yearly Bill without solar (with tarif increase)" id="2"/>
    <tableColumn totalsRowFunction="custom" name="Yearly Bill with solar " id="3"/>
    <tableColumn name="Bi-monthyl bill without solar" id="4"/>
    <tableColumn name="Bi-monthyl bill with solar" id="5"/>
    <tableColumn totalsRowFunction="custom" name="Yearly savings " id="6"/>
    <tableColumn totalsRowFunction="custom" name="Costs without solar_x000a_(accumulated)" id="7"/>
    <tableColumn totalsRowFunction="custom" name="Cost of going solar (accumulated)" id="8"/>
    <tableColumn name="Break Even " id="9"/>
    <tableColumn name="Yearly savings (Rental)" id="10"/>
    <tableColumn name="Break Even (Rental)" id="11"/>
  </tableColumns>
  <tableStyleInfo name="Return of investment -style" showColumnStripes="0" showFirstColumn="1" showLastColumn="1" showRowStripes="1"/>
</table>
</file>

<file path=xl/tables/table2.xml><?xml version="1.0" encoding="utf-8"?>
<table xmlns="http://schemas.openxmlformats.org/spreadsheetml/2006/main" totalsRowCount="1" ref="B3:G17" displayName="Energy_Usage_kWh" name="Energy_Usage_kWh" id="2">
  <tableColumns count="6">
    <tableColumn name="Months " id="1"/>
    <tableColumn totalsRowFunction="custom" name="(2025-2026) kWh" id="2"/>
    <tableColumn totalsRowFunction="custom" name="(2025-2026) Bill" id="3"/>
    <tableColumn totalsRowFunction="custom" name="2024-2025" id="4"/>
    <tableColumn name="Avg Rs. /kWh" id="5"/>
    <tableColumn name="Daily kWh" id="6"/>
  </tableColumns>
  <tableStyleInfo name="On-grid System sizing calculato-style" showColumnStripes="0" showFirstColumn="1" showLastColumn="1" showRowStripes="1"/>
</table>
</file>

<file path=xl/tables/table3.xml><?xml version="1.0" encoding="utf-8"?>
<table xmlns="http://schemas.openxmlformats.org/spreadsheetml/2006/main" totalsRowCount="1" ref="N3:R9" displayName="System_Size" name="System_Size" id="3">
  <tableColumns count="5">
    <tableColumn totalsRowLabel="Corresponding DC sizing" name="Parameters" id="1"/>
    <tableColumn totalsRowFunction="custom" name="Normal System" id="2"/>
    <tableColumn totalsRowFunction="custom" name="Future expansion" id="3"/>
    <tableColumn totalsRowFunction="custom" name="EV alone" id="4"/>
    <tableColumn totalsRowLabel="kW" name="units " id="5"/>
  </tableColumns>
  <tableStyleInfo name="On-grid System sizing calculato-style 2" showColumnStripes="0" showFirstColumn="1" showLastColumn="1" showRowStripes="1"/>
</table>
</file>

<file path=xl/tables/table4.xml><?xml version="1.0" encoding="utf-8"?>
<table xmlns="http://schemas.openxmlformats.org/spreadsheetml/2006/main" ref="B29:C33" displayName="Factoring" name="Factoring" id="4">
  <tableColumns count="2">
    <tableColumn name="Data needed" id="1"/>
    <tableColumn name="Column 1" id="2"/>
  </tableColumns>
  <tableStyleInfo name="On-grid System sizing calculato-style 3" showColumnStripes="0" showFirstColumn="1" showLastColumn="1" showRowStripes="1"/>
</table>
</file>

<file path=xl/tables/table5.xml><?xml version="1.0" encoding="utf-8"?>
<table xmlns="http://schemas.openxmlformats.org/spreadsheetml/2006/main" ref="E29:F33" displayName="EV_Car" name="EV_Car" id="5">
  <tableColumns count="2">
    <tableColumn name="Months " id="1"/>
    <tableColumn name="Energy usage (units)" id="2"/>
  </tableColumns>
  <tableStyleInfo name="On-grid System sizing calculato-style 4" showColumnStripes="0" showFirstColumn="1" showLastColumn="1" showRowStripes="1"/>
</table>
</file>

<file path=xl/tables/table6.xml><?xml version="1.0" encoding="utf-8"?>
<table xmlns="http://schemas.openxmlformats.org/spreadsheetml/2006/main" ref="H29:I33" displayName="EV_Scooter" name="EV_Scooter" id="6">
  <tableColumns count="2">
    <tableColumn name="Months " id="1"/>
    <tableColumn name="Energy usage (units)" id="2"/>
  </tableColumns>
  <tableStyleInfo name="On-grid System sizing calculato-style 5" showColumnStripes="0" showFirstColumn="1" showLastColumn="1" showRowStripes="1"/>
</table>
</file>

<file path=xl/tables/table7.xml><?xml version="1.0" encoding="utf-8"?>
<table xmlns="http://schemas.openxmlformats.org/spreadsheetml/2006/main" totalsRowCount="1" ref="E36:O57" displayName="Table6_2" name="Table6_2" id="7">
  <tableColumns count="11">
    <tableColumn totalsRowLabel="Total " name="Years " id="1"/>
    <tableColumn totalsRowFunction="custom" name="Yearly Bill without solar (with tarif increase)" id="2"/>
    <tableColumn totalsRowFunction="custom" name="Yearly Bill with solar " id="3"/>
    <tableColumn name="Bi-monthyl bill without solar" id="4"/>
    <tableColumn name="Bi-monthyl bill with solar" id="5"/>
    <tableColumn totalsRowFunction="custom" name="Yearly savings " id="6"/>
    <tableColumn totalsRowFunction="custom" name="Costs without solar_x000a_(accumulated)" id="7"/>
    <tableColumn totalsRowFunction="custom" name="Cost of going solar (accumulated)" id="8"/>
    <tableColumn name="Break Even " id="9"/>
    <tableColumn name="Yearly savings (Rental)" id="10"/>
    <tableColumn name="Break Even (Rental)" id="11"/>
  </tableColumns>
  <tableStyleInfo name="Commercial RoI -style" showColumnStripes="0" showFirstColumn="1" showLastColumn="1" showRowStripes="1"/>
</table>
</file>

<file path=xl/tables/table8.xml><?xml version="1.0" encoding="utf-8"?>
<table xmlns="http://schemas.openxmlformats.org/spreadsheetml/2006/main" totalsRowCount="1" ref="B3:I16" displayName="Energy_Usage_kWh_3" name="Energy_Usage_kWh_3" id="8">
  <tableColumns count="8">
    <tableColumn totalsRowLabel="TOTAL" name="Months " id="1"/>
    <tableColumn totalsRowFunction="custom" name="(2025-2026) kWh" id="2"/>
    <tableColumn totalsRowFunction="custom" name="(2025-2026) Bill" id="3"/>
    <tableColumn name="Avg Rs. /kWh" id="4"/>
    <tableColumn totalsRowFunction="custom" name="(2024-2025) kWh" id="5"/>
    <tableColumn name="(2024-2025) Bill" id="6"/>
    <tableColumn name="Avg Rs. /kWh 2" id="7"/>
    <tableColumn name="Daily kWh" id="8"/>
  </tableColumns>
  <tableStyleInfo name="Commercial_sizing-style" showColumnStripes="0" showFirstColumn="1" showLastColumn="1" showRowStripes="1"/>
</table>
</file>

<file path=xl/tables/table9.xml><?xml version="1.0" encoding="utf-8"?>
<table xmlns="http://schemas.openxmlformats.org/spreadsheetml/2006/main" totalsRowCount="1" ref="K3:O9" displayName="System_Size_3" name="System_Size_3" id="9">
  <tableColumns count="5">
    <tableColumn totalsRowLabel="Corresponding DC sizing" name="Column 1" id="1"/>
    <tableColumn totalsRowFunction="custom" name="Min" id="2"/>
    <tableColumn totalsRowFunction="custom" name="Max" id="3"/>
    <tableColumn totalsRowLabel="kW" name="units " id="4"/>
    <tableColumn name="Ratio" id="5"/>
  </tableColumns>
  <tableStyleInfo name="Commercial_sizing-style 2" showColumnStripes="0" showFirstColumn="1" showLastColumn="1" showRowStripes="1"/>
</table>
</file>

<file path=xl/tables/table10.xml><?xml version="1.0" encoding="utf-8"?>
<table xmlns="http://schemas.openxmlformats.org/spreadsheetml/2006/main" headerRowCount="0" ref="K11:N20" displayName="Table_1" name="Table_1" id="10">
  <tableColumns count="4">
    <tableColumn name="Column1" id="1"/>
    <tableColumn name="Column2" id="2"/>
    <tableColumn name="Column3" id="3"/>
    <tableColumn name="Column4" id="4"/>
  </tableColumns>
  <tableStyleInfo name="Commercial_sizing-style 3" showColumnStripes="0" showFirstColumn="1" showLastColumn="1" showRowStripes="1"/>
</table>
</file>

<file path=xl/tables/table11.xml><?xml version="1.0" encoding="utf-8"?>
<table xmlns="http://schemas.openxmlformats.org/spreadsheetml/2006/main" ref="B21:C25" displayName="Factoring_3" name="Factoring_3" id="11">
  <tableColumns count="2">
    <tableColumn name="Data needed" id="1"/>
    <tableColumn name="Column 1" id="2"/>
  </tableColumns>
  <tableStyleInfo name="Commercial_sizing-style 4" showColumnStripes="0" showFirstColumn="1" showLastColumn="1" showRowStripes="1"/>
</table>
</file>

<file path=xl/tables/table12.xml><?xml version="1.0" encoding="utf-8"?>
<table xmlns="http://schemas.openxmlformats.org/spreadsheetml/2006/main" totalsRowCount="1" ref="B29:I42" displayName="Table7" name="Table7" id="12">
  <tableColumns count="8">
    <tableColumn totalsRowLabel="TOTAL" name="Months " id="1"/>
    <tableColumn totalsRowFunction="custom" name="(2025-2026) kWh" id="2"/>
    <tableColumn totalsRowFunction="custom" name="(2025-2026) Bill" id="3"/>
    <tableColumn name="Avg Rs. /kWh" id="4"/>
    <tableColumn totalsRowFunction="custom" name="(2024-2025) kWh" id="5"/>
    <tableColumn name="(2024-2025) Bill" id="6"/>
    <tableColumn name="Avg Rs. /kWh 2" id="7"/>
    <tableColumn name="Daily kWh" id="8"/>
  </tableColumns>
  <tableStyleInfo name="Commercial_sizing-style 5" showColumnStripes="0" showFirstColumn="1" showLastColumn="1" showRowStripes="1"/>
</table>
</file>

<file path=xl/tables/table13.xml><?xml version="1.0" encoding="utf-8"?>
<table xmlns="http://schemas.openxmlformats.org/spreadsheetml/2006/main" totalsRowCount="1" ref="K29:O35" displayName="Table8" name="Table8" id="13">
  <tableColumns count="5">
    <tableColumn totalsRowLabel="Corresponding DC sizing" name="Column 1" id="1"/>
    <tableColumn totalsRowFunction="custom" name="Min" id="2"/>
    <tableColumn totalsRowFunction="custom" name="Max" id="3"/>
    <tableColumn totalsRowLabel="kW" name="units " id="4"/>
    <tableColumn name="Ratio" id="5"/>
  </tableColumns>
  <tableStyleInfo name="Commercial_sizing-style 6" showColumnStripes="0" showFirstColumn="1" showLastColumn="1" showRowStripes="1"/>
</table>
</file>

<file path=xl/tables/table14.xml><?xml version="1.0" encoding="utf-8"?>
<table xmlns="http://schemas.openxmlformats.org/spreadsheetml/2006/main" headerRowCount="0" ref="K37:P46" displayName="Table_2" name="Table_2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mmercial_sizing-style 7" showColumnStripes="0" showFirstColumn="1" showLastColumn="1" showRowStripes="1"/>
</table>
</file>

<file path=xl/tables/table15.xml><?xml version="1.0" encoding="utf-8"?>
<table xmlns="http://schemas.openxmlformats.org/spreadsheetml/2006/main" ref="B47:C51" displayName="Table1" name="Table1" id="15">
  <tableColumns count="2">
    <tableColumn name="Data needed" id="1"/>
    <tableColumn name="Column 1" id="2"/>
  </tableColumns>
  <tableStyleInfo name="Commercial_sizing-style 8" showColumnStripes="0" showFirstColumn="1" showLastColumn="1" showRowStripes="1"/>
</table>
</file>

<file path=xl/tables/table16.xml><?xml version="1.0" encoding="utf-8"?>
<table xmlns="http://schemas.openxmlformats.org/spreadsheetml/2006/main" totalsRowCount="1" ref="B8:D15" displayName="Energy_Usage_kWh_2" name="Energy_Usage_kWh_2" id="16">
  <tableColumns count="3">
    <tableColumn name="Months " id="1"/>
    <tableColumn totalsRowFunction="custom" name="2025-2026" id="2"/>
    <tableColumn totalsRowFunction="custom" name="2024-2025" id="3"/>
  </tableColumns>
  <tableStyleInfo name="Hybrid system sizing calculator-style" showColumnStripes="0" showFirstColumn="1" showLastColumn="1" showRowStripes="1"/>
</table>
</file>

<file path=xl/tables/table17.xml><?xml version="1.0" encoding="utf-8"?>
<table xmlns="http://schemas.openxmlformats.org/spreadsheetml/2006/main" totalsRowCount="1" ref="F8:I14" displayName="System_Size_2" name="System_Size_2" id="17">
  <tableColumns count="4">
    <tableColumn totalsRowLabel="Corresponding DC sizing" name="Column 1" id="1"/>
    <tableColumn totalsRowFunction="custom" name="Normal System" id="2"/>
    <tableColumn totalsRowFunction="custom" name="EV alone" id="3"/>
    <tableColumn totalsRowLabel="kW" name="units " id="4"/>
  </tableColumns>
  <tableStyleInfo name="Hybrid system sizing calculator-style 2" showColumnStripes="0" showFirstColumn="1" showLastColumn="1" showRowStripes="1"/>
</table>
</file>

<file path=xl/tables/table18.xml><?xml version="1.0" encoding="utf-8"?>
<table xmlns="http://schemas.openxmlformats.org/spreadsheetml/2006/main" ref="B18:C22" displayName="Factoring_2" name="Factoring_2" id="18">
  <tableColumns count="2">
    <tableColumn name="Data needed" id="1"/>
    <tableColumn name="Column 1" id="2"/>
  </tableColumns>
  <tableStyleInfo name="Hybrid system sizing calculator-style 3" showColumnStripes="0" showFirstColumn="1" showLastColumn="1" showRowStripes="1"/>
</table>
</file>

<file path=xl/tables/table19.xml><?xml version="1.0" encoding="utf-8"?>
<table xmlns="http://schemas.openxmlformats.org/spreadsheetml/2006/main" totalsRowCount="1" ref="F18:H24" displayName="BESS" name="BESS" id="19">
  <tableColumns count="3">
    <tableColumn name="Parameters" id="1"/>
    <tableColumn name="Units" id="2"/>
    <tableColumn name="Details" id="3"/>
  </tableColumns>
  <tableStyleInfo name="Hybrid system sizing calculator-style 4" showColumnStripes="0" showFirstColumn="1" showLastColumn="1" showRowStripes="1"/>
</table>
</file>

<file path=xl/tables/table20.xml><?xml version="1.0" encoding="utf-8"?>
<table xmlns="http://schemas.openxmlformats.org/spreadsheetml/2006/main" ref="B26:D31" displayName="EV_Car_2" name="EV_Car_2" id="20">
  <tableColumns count="3">
    <tableColumn name="Months " id="1"/>
    <tableColumn name="Energy usage (units)" id="2"/>
    <tableColumn name="Column 1" id="3"/>
  </tableColumns>
  <tableStyleInfo name="Hybrid system sizing calculator-style 5" showColumnStripes="0" showFirstColumn="1" showLastColumn="1" showRowStripes="1"/>
</table>
</file>

<file path=xl/tables/table21.xml><?xml version="1.0" encoding="utf-8"?>
<table xmlns="http://schemas.openxmlformats.org/spreadsheetml/2006/main" headerRowCount="0" ref="F28:H33" displayName="Table_3" name="Table_3" id="21">
  <tableColumns count="3">
    <tableColumn name="Column1" id="1"/>
    <tableColumn name="Column2" id="2"/>
    <tableColumn name="Column3" id="3"/>
  </tableColumns>
  <tableStyleInfo name="Hybrid system sizing calculator-style 6" showColumnStripes="0" showFirstColumn="1" showLastColumn="1" showRowStripes="1"/>
</table>
</file>

<file path=xl/tables/table22.xml><?xml version="1.0" encoding="utf-8"?>
<table xmlns="http://schemas.openxmlformats.org/spreadsheetml/2006/main" ref="B34:C39" displayName="EV_Scooter_2" name="EV_Scooter_2" id="22">
  <tableColumns count="2">
    <tableColumn name="Months " id="1"/>
    <tableColumn name="Energy usage (units)" id="2"/>
  </tableColumns>
  <tableStyleInfo name="Hybrid system sizing calculator-style 7" showColumnStripes="0" showFirstColumn="1" showLastColumn="1" showRowStripes="1"/>
</table>
</file>

<file path=xl/tables/table23.xml><?xml version="1.0" encoding="utf-8"?>
<table xmlns="http://schemas.openxmlformats.org/spreadsheetml/2006/main" ref="B5:D7" displayName="DC_fuse" name="DC_fuse" id="23">
  <tableColumns count="3">
    <tableColumn name="Parameters " id="1"/>
    <tableColumn name="Values " id="2"/>
    <tableColumn name="Units " id="3"/>
  </tableColumns>
  <tableStyleInfo name="DCDB &amp; ACDB-style" showColumnStripes="0" showFirstColumn="1" showLastColumn="1" showRowStripes="1"/>
</table>
</file>

<file path=xl/tables/table24.xml><?xml version="1.0" encoding="utf-8"?>
<table xmlns="http://schemas.openxmlformats.org/spreadsheetml/2006/main" ref="F5:H8" displayName="AC_fuse" name="AC_fuse" id="24">
  <tableColumns count="3">
    <tableColumn name="Parameters " id="1"/>
    <tableColumn name="Values " id="2"/>
    <tableColumn name="Units " id="3"/>
  </tableColumns>
  <tableStyleInfo name="DCDB &amp; ACDB-style 2" showColumnStripes="0" showFirstColumn="1" showLastColumn="1" showRowStripes="1"/>
</table>
</file>

<file path=xl/tables/table25.xml><?xml version="1.0" encoding="utf-8"?>
<table xmlns="http://schemas.openxmlformats.org/spreadsheetml/2006/main" ref="B4:G13" displayName="Battery_sizing" name="Battery_sizing" id="25">
  <tableColumns count="6">
    <tableColumn name="Appliances" id="1"/>
    <tableColumn name="NOs" id="2"/>
    <tableColumn name="power(W)" id="3"/>
    <tableColumn name="Total power " id="4"/>
    <tableColumn name="No of hours " id="5"/>
    <tableColumn name="energy (Wh)" id="6"/>
  </tableColumns>
  <tableStyleInfo name="Battery sizing-style" showColumnStripes="0" showFirstColumn="1" showLastColumn="1" showRowStripes="1"/>
</table>
</file>

<file path=xl/tables/table26.xml><?xml version="1.0" encoding="utf-8"?>
<table xmlns="http://schemas.openxmlformats.org/spreadsheetml/2006/main" ref="B21:L24" displayName="Table2" name="Table2" id="26">
  <tableColumns count="11">
    <tableColumn name="Mode" id="1"/>
    <tableColumn name="Energy used (WH)" id="2"/>
    <tableColumn name="Bateery needed (Kwh)" id="3"/>
    <tableColumn name="battery V" id="4"/>
    <tableColumn name="Battery AH" id="5"/>
    <tableColumn name="Total capacity " id="6"/>
    <tableColumn name="Column 1" id="7"/>
    <tableColumn name="Run time " id="8"/>
    <tableColumn name="Run Time(h) (3.3KWH)" id="9"/>
    <tableColumn name="Run Time(h) (4.1KWH)" id="10"/>
    <tableColumn name="Run Time(h) (8KWH)" id="11"/>
  </tableColumns>
  <tableStyleInfo name="Battery sizing-style 2" showColumnStripes="0" showFirstColumn="1" showLastColumn="1" showRowStripes="1"/>
</table>
</file>

<file path=xl/tables/table27.xml><?xml version="1.0" encoding="utf-8"?>
<table xmlns="http://schemas.openxmlformats.org/spreadsheetml/2006/main" ref="B4:C6" displayName="Table3" name="Table3" id="27">
  <tableColumns count="2">
    <tableColumn name="Panels Specs " id="1"/>
    <tableColumn name="Values(V&amp;I)" id="2"/>
  </tableColumns>
  <tableStyleInfo name="Wiring -style" showColumnStripes="0" showFirstColumn="1" showLastColumn="1" showRowStripes="1"/>
</table>
</file>

<file path=xl/tables/table28.xml><?xml version="1.0" encoding="utf-8"?>
<table xmlns="http://schemas.openxmlformats.org/spreadsheetml/2006/main" ref="E5:I10" displayName="Table4" name="Table4" id="28">
  <tableColumns count="5">
    <tableColumn name="CURRENT/DISTANCE" id="1"/>
    <tableColumn name="10m" id="2"/>
    <tableColumn name="25m" id="3"/>
    <tableColumn name="50m" id="4"/>
    <tableColumn name="100m" id="5"/>
  </tableColumns>
  <tableStyleInfo name="Wiring -style 2" showColumnStripes="0" showFirstColumn="1" showLastColumn="1" showRowStripes="1"/>
</table>
</file>

<file path=xl/tables/table29.xml><?xml version="1.0" encoding="utf-8"?>
<table xmlns="http://schemas.openxmlformats.org/spreadsheetml/2006/main" ref="E17:I22" displayName="Table5" name="Table5" id="29">
  <tableColumns count="5">
    <tableColumn name="CURRENT/DISTANCE" id="1"/>
    <tableColumn name="10m" id="2"/>
    <tableColumn name="25m" id="3"/>
    <tableColumn name="50m" id="4"/>
    <tableColumn name="100m" id="5"/>
  </tableColumns>
  <tableStyleInfo name="Wiring -style 3" showColumnStripes="0" showFirstColumn="1" showLastColumn="1" showRowStripes="1"/>
</table>
</file>

<file path=xl/tables/table30.xml><?xml version="1.0" encoding="utf-8"?>
<table xmlns="http://schemas.openxmlformats.org/spreadsheetml/2006/main" ref="B27:D36" displayName="DC" name="DC" id="30">
  <tableColumns count="3">
    <tableColumn name="DC Wire Sizing " id="1"/>
    <tableColumn name="Values  1" id="2"/>
    <tableColumn name="Units " id="3"/>
  </tableColumns>
  <tableStyleInfo name="Wiring -style 4" showColumnStripes="0" showFirstColumn="1" showLastColumn="1" showRowStripes="1"/>
</table>
</file>

<file path=xl/tables/table31.xml><?xml version="1.0" encoding="utf-8"?>
<table xmlns="http://schemas.openxmlformats.org/spreadsheetml/2006/main" ref="B41:D51" displayName="AC" name="AC" id="31">
  <tableColumns count="3">
    <tableColumn name="AC Wire Sizing " id="1"/>
    <tableColumn name="Values  2" id="2"/>
    <tableColumn name="Units " id="3"/>
  </tableColumns>
  <tableStyleInfo name="Wiring -style 5" showColumnStripes="0" showFirstColumn="1" showLastColumn="1" showRowStripes="1"/>
</table>
</file>

<file path=xl/tables/table32.xml><?xml version="1.0" encoding="utf-8"?>
<table xmlns="http://schemas.openxmlformats.org/spreadsheetml/2006/main" ref="B4:F9" displayName="Panel_1_" name="Panel_1_" id="32">
  <tableColumns count="5">
    <tableColumn name="Parameter " id="1"/>
    <tableColumn name="Reliance HJT 700Wp" id="2"/>
    <tableColumn name=" Renewsys TOPCon (585Wp)" id="3"/>
    <tableColumn name="units " id="4"/>
    <tableColumn name="Difference " id="5"/>
  </tableColumns>
  <tableStyleInfo name="Missmatch loss -style" showColumnStripes="0" showFirstColumn="1" showLastColumn="1" showRowStripes="1"/>
</table>
</file>

<file path=xl/tables/table33.xml><?xml version="1.0" encoding="utf-8"?>
<table xmlns="http://schemas.openxmlformats.org/spreadsheetml/2006/main" totalsRowCount="1" ref="B12:E15" displayName="Table10" name="Table10" id="33">
  <tableColumns count="4">
    <tableColumn totalsRowLabel="Theoretical Total" name="String " id="1"/>
    <tableColumn name="Voltage (6xVmpp)" id="2"/>
    <tableColumn name="Current (Impp)" id="3"/>
    <tableColumn totalsRowFunction="custom" name="Power Output(Kw)" id="4"/>
  </tableColumns>
  <tableStyleInfo name="Missmatch loss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244D65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8-05T08:12:19.00" personId="{02c1e036-9fcc-419a-a625-c22bf5a105be}" id="{79e7cb98-702e-4d47-a554-91dd4cd070a1}" done="1">
    <x18tc:text xml:space="preserve">Max energy usage for This month?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9" Type="http://schemas.openxmlformats.org/officeDocument/2006/relationships/table" Target="../tables/table4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13" Type="http://schemas.openxmlformats.org/officeDocument/2006/relationships/table" Target="../tables/table11.xml"/><Relationship Id="rId12" Type="http://schemas.openxmlformats.org/officeDocument/2006/relationships/table" Target="../tables/table10.xml"/><Relationship Id="rId15" Type="http://schemas.openxmlformats.org/officeDocument/2006/relationships/table" Target="../tables/table13.xml"/><Relationship Id="rId14" Type="http://schemas.openxmlformats.org/officeDocument/2006/relationships/table" Target="../tables/table12.xml"/><Relationship Id="rId17" Type="http://schemas.openxmlformats.org/officeDocument/2006/relationships/table" Target="../tables/table15.xml"/><Relationship Id="rId16" Type="http://schemas.openxmlformats.org/officeDocument/2006/relationships/table" Target="../tables/table1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18.xml"/><Relationship Id="rId10" Type="http://schemas.openxmlformats.org/officeDocument/2006/relationships/table" Target="../tables/table17.xml"/><Relationship Id="rId13" Type="http://schemas.openxmlformats.org/officeDocument/2006/relationships/table" Target="../tables/table20.xml"/><Relationship Id="rId12" Type="http://schemas.openxmlformats.org/officeDocument/2006/relationships/table" Target="../tables/table19.xml"/><Relationship Id="rId9" Type="http://schemas.openxmlformats.org/officeDocument/2006/relationships/table" Target="../tables/table16.xml"/><Relationship Id="rId15" Type="http://schemas.openxmlformats.org/officeDocument/2006/relationships/table" Target="../tables/table22.xml"/><Relationship Id="rId14" Type="http://schemas.openxmlformats.org/officeDocument/2006/relationships/table" Target="../tables/table2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23.xml"/><Relationship Id="rId5" Type="http://schemas.openxmlformats.org/officeDocument/2006/relationships/table" Target="../tables/table2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25.xml"/><Relationship Id="rId5" Type="http://schemas.openxmlformats.org/officeDocument/2006/relationships/table" Target="../tables/table2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11" Type="http://schemas.openxmlformats.org/officeDocument/2006/relationships/table" Target="../tables/table31.xml"/><Relationship Id="rId10" Type="http://schemas.openxmlformats.org/officeDocument/2006/relationships/table" Target="../tables/table30.xml"/><Relationship Id="rId9" Type="http://schemas.openxmlformats.org/officeDocument/2006/relationships/table" Target="../tables/table29.xml"/><Relationship Id="rId7" Type="http://schemas.openxmlformats.org/officeDocument/2006/relationships/table" Target="../tables/table27.xml"/><Relationship Id="rId8" Type="http://schemas.openxmlformats.org/officeDocument/2006/relationships/table" Target="../tables/table2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32.xml"/><Relationship Id="rId5" Type="http://schemas.openxmlformats.org/officeDocument/2006/relationships/table" Target="../tables/table3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5"/>
    <col customWidth="1" min="5" max="5" width="20.0"/>
    <col customWidth="1" min="6" max="6" width="21.0"/>
    <col customWidth="1" min="7" max="7" width="13.38"/>
    <col customWidth="1" min="8" max="10" width="14.88"/>
    <col customWidth="1" min="11" max="12" width="20.13"/>
    <col customWidth="1" min="13" max="13" width="14.13"/>
    <col customWidth="1" min="17" max="17" width="14.63"/>
    <col customWidth="1" min="18" max="18" width="13.75"/>
    <col customWidth="1" min="20" max="20" width="15.0"/>
    <col customWidth="1" min="22" max="22" width="15.0"/>
    <col customWidth="1" min="24" max="24" width="15.5"/>
  </cols>
  <sheetData>
    <row r="3">
      <c r="B3" s="1" t="s">
        <v>0</v>
      </c>
      <c r="C3" s="2">
        <f>Quotation!C1/1000</f>
        <v>6</v>
      </c>
    </row>
    <row r="5">
      <c r="H5" s="3" t="s">
        <v>1</v>
      </c>
      <c r="I5" s="4"/>
      <c r="N5" s="3" t="s">
        <v>2</v>
      </c>
      <c r="O5" s="4"/>
      <c r="S5" s="5"/>
      <c r="T5" s="3" t="s">
        <v>2</v>
      </c>
      <c r="U5" s="4"/>
    </row>
    <row r="6">
      <c r="H6" s="6" t="s">
        <v>3</v>
      </c>
      <c r="I6" s="6" t="s">
        <v>4</v>
      </c>
      <c r="J6" s="7" t="s">
        <v>5</v>
      </c>
      <c r="K6" s="8" t="s">
        <v>6</v>
      </c>
      <c r="L6" s="7" t="s">
        <v>7</v>
      </c>
      <c r="N6" s="6" t="s">
        <v>3</v>
      </c>
      <c r="O6" s="6" t="s">
        <v>4</v>
      </c>
      <c r="P6" s="7" t="s">
        <v>5</v>
      </c>
      <c r="Q6" s="8" t="s">
        <v>6</v>
      </c>
      <c r="R6" s="7" t="s">
        <v>7</v>
      </c>
      <c r="S6" s="5"/>
      <c r="T6" s="6" t="s">
        <v>3</v>
      </c>
      <c r="U6" s="6" t="s">
        <v>4</v>
      </c>
      <c r="V6" s="7" t="s">
        <v>5</v>
      </c>
      <c r="W6" s="8" t="s">
        <v>6</v>
      </c>
      <c r="X6" s="7" t="s">
        <v>7</v>
      </c>
    </row>
    <row r="7">
      <c r="B7" s="9" t="s">
        <v>8</v>
      </c>
      <c r="C7" s="10">
        <f>Quotation!K16</f>
        <v>380432.184</v>
      </c>
      <c r="E7" s="11" t="s">
        <v>9</v>
      </c>
      <c r="F7" s="12">
        <v>25.9</v>
      </c>
      <c r="H7" s="13">
        <v>401.0</v>
      </c>
      <c r="I7" s="14">
        <v>500.0</v>
      </c>
      <c r="J7" s="15">
        <v>6.3</v>
      </c>
      <c r="K7" s="16"/>
      <c r="L7" s="17">
        <f t="shared" ref="L7:L10" si="1">K7*J7</f>
        <v>0</v>
      </c>
      <c r="N7" s="8">
        <v>1001.0</v>
      </c>
      <c r="O7" s="18">
        <v>9999.0</v>
      </c>
      <c r="P7" s="15">
        <v>11.55</v>
      </c>
      <c r="Q7" s="19">
        <f t="shared" ref="Q7:Q11" si="2">if(($F$9-SUM(Q8:Q$13))-($O7-($N7-1))&gt;0,($O7-($N7-1)),($F$9-SUM(Q8:Q$13)))</f>
        <v>575.5833333</v>
      </c>
      <c r="R7" s="20">
        <f t="shared" ref="R7:R13" si="3">Q7*P7</f>
        <v>6647.9875</v>
      </c>
      <c r="S7" s="5"/>
      <c r="T7" s="8">
        <v>1001.0</v>
      </c>
      <c r="U7" s="18">
        <v>9999.0</v>
      </c>
      <c r="V7" s="15">
        <v>11.55</v>
      </c>
      <c r="W7" s="21">
        <f>LET(
remaining,$W$16-SUM(X8:X13),
result,IF(remaining&lt;=X7,remaining/$V7,(U7-T7)+1),
MAX(0,result)
)</f>
        <v>2248.484848</v>
      </c>
      <c r="X7" s="22">
        <f t="shared" ref="X7:X13" si="4">$V7*($U7-($T7-1))</f>
        <v>103938.45</v>
      </c>
    </row>
    <row r="8">
      <c r="B8" s="23" t="s">
        <v>10</v>
      </c>
      <c r="C8" s="24">
        <f>(if((Quotation!F17*C3)&gt;78000,78000,(Quotation!F17*C3)))</f>
        <v>78000</v>
      </c>
      <c r="E8" s="25" t="s">
        <v>11</v>
      </c>
      <c r="F8" s="26">
        <f>F7*365</f>
        <v>9453.5</v>
      </c>
      <c r="H8" s="13">
        <v>201.0</v>
      </c>
      <c r="I8" s="14">
        <v>400.0</v>
      </c>
      <c r="J8" s="15">
        <v>4.7</v>
      </c>
      <c r="K8" s="7">
        <v>200.0</v>
      </c>
      <c r="L8" s="17">
        <f t="shared" si="1"/>
        <v>940</v>
      </c>
      <c r="N8" s="13">
        <v>801.0</v>
      </c>
      <c r="O8" s="14">
        <v>1000.0</v>
      </c>
      <c r="P8" s="15">
        <v>10.5</v>
      </c>
      <c r="Q8" s="16">
        <f t="shared" si="2"/>
        <v>200</v>
      </c>
      <c r="R8" s="27">
        <f t="shared" si="3"/>
        <v>2100</v>
      </c>
      <c r="S8" s="5"/>
      <c r="T8" s="13">
        <v>801.0</v>
      </c>
      <c r="U8" s="14">
        <v>1000.0</v>
      </c>
      <c r="V8" s="15">
        <v>10.5</v>
      </c>
      <c r="W8" s="21">
        <f t="shared" ref="W8:W11" si="5">LET(
remaining,$W$16-SUM(X9:X$13),
result,IF(remaining&lt;=X8,remaining/$V8,(U8-T8)+1),
MAX(0,result)
)</f>
        <v>200</v>
      </c>
      <c r="X8" s="28">
        <f t="shared" si="4"/>
        <v>2100</v>
      </c>
    </row>
    <row r="9">
      <c r="B9" s="29" t="s">
        <v>12</v>
      </c>
      <c r="C9" s="30">
        <f>Quotation!K18</f>
        <v>297679.3215</v>
      </c>
      <c r="E9" s="31" t="s">
        <v>13</v>
      </c>
      <c r="F9" s="32">
        <f>F8/6</f>
        <v>1575.583333</v>
      </c>
      <c r="H9" s="13">
        <v>101.0</v>
      </c>
      <c r="I9" s="14">
        <v>200.0</v>
      </c>
      <c r="J9" s="15">
        <v>2.35</v>
      </c>
      <c r="K9" s="7">
        <v>100.0</v>
      </c>
      <c r="L9" s="17">
        <f t="shared" si="1"/>
        <v>235</v>
      </c>
      <c r="N9" s="13">
        <v>601.0</v>
      </c>
      <c r="O9" s="14">
        <v>800.0</v>
      </c>
      <c r="P9" s="15">
        <v>9.45</v>
      </c>
      <c r="Q9" s="16">
        <f t="shared" si="2"/>
        <v>200</v>
      </c>
      <c r="R9" s="17">
        <f t="shared" si="3"/>
        <v>1890</v>
      </c>
      <c r="S9" s="5"/>
      <c r="T9" s="13">
        <v>601.0</v>
      </c>
      <c r="U9" s="14">
        <v>800.0</v>
      </c>
      <c r="V9" s="15">
        <v>9.45</v>
      </c>
      <c r="W9" s="21">
        <f t="shared" si="5"/>
        <v>200</v>
      </c>
      <c r="X9" s="28">
        <f t="shared" si="4"/>
        <v>1890</v>
      </c>
    </row>
    <row r="10">
      <c r="H10" s="33">
        <v>0.0</v>
      </c>
      <c r="I10" s="34">
        <v>100.0</v>
      </c>
      <c r="J10" s="15">
        <v>0.0</v>
      </c>
      <c r="K10" s="7">
        <v>100.0</v>
      </c>
      <c r="L10" s="17">
        <f t="shared" si="1"/>
        <v>0</v>
      </c>
      <c r="N10" s="13">
        <v>501.0</v>
      </c>
      <c r="O10" s="14">
        <v>600.0</v>
      </c>
      <c r="P10" s="15">
        <v>8.4</v>
      </c>
      <c r="Q10" s="16">
        <f t="shared" si="2"/>
        <v>100</v>
      </c>
      <c r="R10" s="17">
        <f t="shared" si="3"/>
        <v>840</v>
      </c>
      <c r="S10" s="5"/>
      <c r="T10" s="13">
        <v>501.0</v>
      </c>
      <c r="U10" s="14">
        <v>600.0</v>
      </c>
      <c r="V10" s="15">
        <v>8.4</v>
      </c>
      <c r="W10" s="21">
        <f t="shared" si="5"/>
        <v>100</v>
      </c>
      <c r="X10" s="28">
        <f t="shared" si="4"/>
        <v>840</v>
      </c>
    </row>
    <row r="11">
      <c r="N11" s="13">
        <v>401.0</v>
      </c>
      <c r="O11" s="14">
        <v>500.0</v>
      </c>
      <c r="P11" s="15">
        <v>6.3</v>
      </c>
      <c r="Q11" s="16">
        <f t="shared" si="2"/>
        <v>100</v>
      </c>
      <c r="R11" s="17">
        <f t="shared" si="3"/>
        <v>630</v>
      </c>
      <c r="S11" s="5"/>
      <c r="T11" s="13">
        <v>401.0</v>
      </c>
      <c r="U11" s="14">
        <v>500.0</v>
      </c>
      <c r="V11" s="15">
        <v>6.3</v>
      </c>
      <c r="W11" s="21">
        <f t="shared" si="5"/>
        <v>100</v>
      </c>
      <c r="X11" s="28">
        <f t="shared" si="4"/>
        <v>630</v>
      </c>
    </row>
    <row r="12">
      <c r="B12" s="35" t="s">
        <v>14</v>
      </c>
      <c r="C12" s="36">
        <f>SUM(R7:R13)</f>
        <v>13517.9875</v>
      </c>
      <c r="E12" s="23" t="s">
        <v>15</v>
      </c>
      <c r="F12" s="37">
        <v>0.03</v>
      </c>
      <c r="N12" s="13">
        <v>101.0</v>
      </c>
      <c r="O12" s="14">
        <v>400.0</v>
      </c>
      <c r="P12" s="15">
        <v>4.7</v>
      </c>
      <c r="Q12" s="16">
        <f>if(($F$9-Q$13)-($O12-($N12-1))&gt;0,($O12-($N12-1)),($F$9-SUM(Q12:Q$13)))</f>
        <v>300</v>
      </c>
      <c r="R12" s="17">
        <f t="shared" si="3"/>
        <v>1410</v>
      </c>
      <c r="S12" s="5"/>
      <c r="T12" s="13">
        <v>101.0</v>
      </c>
      <c r="U12" s="14">
        <v>400.0</v>
      </c>
      <c r="V12" s="15">
        <v>4.7</v>
      </c>
      <c r="W12" s="21">
        <f>LET(
remaining,$W$16-SUM(X13),
result,IF(remaining&lt;=X12,remaining/$V12,(U12-T12)+1),
MAX(0,result)
)</f>
        <v>300</v>
      </c>
      <c r="X12" s="28">
        <f t="shared" si="4"/>
        <v>1410</v>
      </c>
    </row>
    <row r="13">
      <c r="B13" s="23" t="s">
        <v>16</v>
      </c>
      <c r="C13" s="38">
        <f> (SUM(R7:R13)) * 6</f>
        <v>81107.925</v>
      </c>
      <c r="E13" s="23" t="s">
        <v>17</v>
      </c>
      <c r="F13" s="39"/>
      <c r="J13" s="23" t="s">
        <v>18</v>
      </c>
      <c r="K13" s="40">
        <f>SUM(L7:L10)</f>
        <v>1175</v>
      </c>
      <c r="N13" s="33">
        <v>0.0</v>
      </c>
      <c r="O13" s="34">
        <v>100.0</v>
      </c>
      <c r="P13" s="15">
        <v>0.0</v>
      </c>
      <c r="Q13" s="16">
        <f>if(($F$9-($O13-$N13))&gt;0,($O13-$N13),($F$9-($O13-$N13)))</f>
        <v>100</v>
      </c>
      <c r="R13" s="17">
        <f t="shared" si="3"/>
        <v>0</v>
      </c>
      <c r="S13" s="5"/>
      <c r="T13" s="33">
        <v>0.0</v>
      </c>
      <c r="U13" s="34">
        <v>100.0</v>
      </c>
      <c r="V13" s="15">
        <v>0.0</v>
      </c>
      <c r="W13" s="21">
        <f>LET(
remaining,$W$16-SUM(X13),
result,IF(remaining&lt;=X13,$W$16,(U13-T13)),
MAX(0,result)
)</f>
        <v>100</v>
      </c>
      <c r="X13" s="28">
        <f t="shared" si="4"/>
        <v>0</v>
      </c>
    </row>
    <row r="14">
      <c r="B14" s="41" t="s">
        <v>19</v>
      </c>
      <c r="C14" s="42">
        <f>(C9/C13)</f>
        <v>3.670163199</v>
      </c>
      <c r="D14" s="43" t="str">
        <f>INT(C14)&amp;" years"</f>
        <v>3 years</v>
      </c>
      <c r="E14" s="44" t="str">
        <f>ROUNDUP((C14-INT(C14))*12,0)&amp; " months"</f>
        <v>9 months</v>
      </c>
      <c r="J14" s="23" t="s">
        <v>20</v>
      </c>
      <c r="K14" s="45">
        <f>sum(J7:J10)/COUNT(J7:J10)</f>
        <v>3.3375</v>
      </c>
      <c r="S14" s="5"/>
    </row>
    <row r="15">
      <c r="B15" s="29" t="s">
        <v>21</v>
      </c>
      <c r="C15" s="46">
        <f>(C13/C9)*100</f>
        <v>27.24674478</v>
      </c>
      <c r="J15" s="23" t="s">
        <v>22</v>
      </c>
      <c r="K15" s="45">
        <f>K13/SUM(K7:K10)</f>
        <v>2.9375</v>
      </c>
    </row>
    <row r="16">
      <c r="P16" s="23" t="s">
        <v>18</v>
      </c>
      <c r="Q16" s="47">
        <f>SUM(R7:R13)</f>
        <v>13517.9875</v>
      </c>
      <c r="V16" s="23" t="s">
        <v>23</v>
      </c>
      <c r="W16" s="23">
        <v>32840.0</v>
      </c>
    </row>
    <row r="17">
      <c r="B17" s="23" t="s">
        <v>24</v>
      </c>
      <c r="C17" s="48">
        <f>Quotation!K5</f>
        <v>54799.92</v>
      </c>
      <c r="P17" s="23" t="s">
        <v>20</v>
      </c>
      <c r="Q17" s="45">
        <f>sum(P7:P13)/COUNT(P7:P13)</f>
        <v>7.271428571</v>
      </c>
      <c r="V17" s="23" t="s">
        <v>25</v>
      </c>
      <c r="W17" s="40">
        <f>SUMIF(W7:W13,"&gt;0")</f>
        <v>3248.484848</v>
      </c>
    </row>
    <row r="18">
      <c r="L18" s="39"/>
      <c r="P18" s="23" t="s">
        <v>22</v>
      </c>
      <c r="Q18" s="45">
        <f>Q16/SUM(Q7:Q13)</f>
        <v>8.57967155</v>
      </c>
      <c r="R18" s="39"/>
      <c r="V18" s="23" t="s">
        <v>26</v>
      </c>
      <c r="W18" s="45">
        <f>W16/W17</f>
        <v>10.10932836</v>
      </c>
    </row>
    <row r="23">
      <c r="B23" s="49" t="s">
        <v>27</v>
      </c>
      <c r="C23" s="50"/>
      <c r="D23" s="50"/>
      <c r="E23" s="51" t="s">
        <v>28</v>
      </c>
      <c r="F23" s="52">
        <v>25.9</v>
      </c>
      <c r="G23" s="50"/>
      <c r="H23" s="50"/>
      <c r="I23" s="50"/>
      <c r="J23" s="50"/>
      <c r="K23" s="53" t="s">
        <v>3</v>
      </c>
      <c r="L23" s="53" t="s">
        <v>4</v>
      </c>
      <c r="M23" s="54" t="s">
        <v>5</v>
      </c>
      <c r="N23" s="8" t="s">
        <v>6</v>
      </c>
      <c r="O23" s="54" t="s">
        <v>29</v>
      </c>
      <c r="P23" s="55"/>
      <c r="Q23" s="50"/>
      <c r="R23" s="56"/>
    </row>
    <row r="24">
      <c r="B24" s="57"/>
      <c r="E24" s="58" t="s">
        <v>30</v>
      </c>
      <c r="F24" s="59">
        <f>F23*365</f>
        <v>9453.5</v>
      </c>
      <c r="K24" s="8">
        <v>1001.0</v>
      </c>
      <c r="L24" s="18">
        <v>9999.0</v>
      </c>
      <c r="M24" s="60">
        <v>11.55</v>
      </c>
      <c r="N24" s="61">
        <f>if(($F$25-SUM(N25:N$30))-($L24-$K24)&gt;0,($L24-$K24),($F$25-SUM(N25:N$30)))</f>
        <v>575.5833333</v>
      </c>
      <c r="O24" s="62">
        <f t="shared" ref="O24:O30" si="6">N24*M24</f>
        <v>6647.9875</v>
      </c>
      <c r="R24" s="5"/>
    </row>
    <row r="25">
      <c r="B25" s="57"/>
      <c r="E25" s="63" t="s">
        <v>31</v>
      </c>
      <c r="F25" s="64">
        <f>F24/6</f>
        <v>1575.583333</v>
      </c>
      <c r="K25" s="13">
        <v>801.0</v>
      </c>
      <c r="L25" s="14">
        <v>1000.0</v>
      </c>
      <c r="M25" s="60">
        <v>10.5</v>
      </c>
      <c r="N25" s="16">
        <f t="shared" ref="N25:N29" si="7">if(($F$25-($L25-$K25))&gt;0,($L25-$K25)+1,($F$25-($L25-$K25)))</f>
        <v>200</v>
      </c>
      <c r="O25" s="62">
        <f t="shared" si="6"/>
        <v>2100</v>
      </c>
      <c r="R25" s="5"/>
    </row>
    <row r="26">
      <c r="B26" s="57"/>
      <c r="K26" s="13">
        <v>601.0</v>
      </c>
      <c r="L26" s="14">
        <v>800.0</v>
      </c>
      <c r="M26" s="60">
        <v>9.45</v>
      </c>
      <c r="N26" s="16">
        <f t="shared" si="7"/>
        <v>200</v>
      </c>
      <c r="O26" s="62">
        <f t="shared" si="6"/>
        <v>1890</v>
      </c>
      <c r="R26" s="5"/>
    </row>
    <row r="27">
      <c r="B27" s="57"/>
      <c r="K27" s="13">
        <v>501.0</v>
      </c>
      <c r="L27" s="14">
        <v>600.0</v>
      </c>
      <c r="M27" s="60">
        <v>8.4</v>
      </c>
      <c r="N27" s="16">
        <f t="shared" si="7"/>
        <v>100</v>
      </c>
      <c r="O27" s="62">
        <f t="shared" si="6"/>
        <v>840</v>
      </c>
      <c r="R27" s="5"/>
    </row>
    <row r="28">
      <c r="B28" s="57"/>
      <c r="E28" s="8" t="s">
        <v>32</v>
      </c>
      <c r="F28" s="65">
        <f>SUM(O24:O30)</f>
        <v>13517.9875</v>
      </c>
      <c r="I28" s="45"/>
      <c r="K28" s="13">
        <v>401.0</v>
      </c>
      <c r="L28" s="14">
        <v>500.0</v>
      </c>
      <c r="M28" s="60">
        <v>6.3</v>
      </c>
      <c r="N28" s="16">
        <f t="shared" si="7"/>
        <v>100</v>
      </c>
      <c r="O28" s="62">
        <f t="shared" si="6"/>
        <v>630</v>
      </c>
      <c r="R28" s="5"/>
    </row>
    <row r="29">
      <c r="B29" s="57"/>
      <c r="E29" s="33" t="s">
        <v>33</v>
      </c>
      <c r="F29" s="66">
        <f> F28*6</f>
        <v>81107.925</v>
      </c>
      <c r="K29" s="13">
        <v>101.0</v>
      </c>
      <c r="L29" s="14">
        <v>400.0</v>
      </c>
      <c r="M29" s="60">
        <v>4.7</v>
      </c>
      <c r="N29" s="16">
        <f t="shared" si="7"/>
        <v>300</v>
      </c>
      <c r="O29" s="62">
        <f t="shared" si="6"/>
        <v>1410</v>
      </c>
      <c r="R29" s="5"/>
    </row>
    <row r="30">
      <c r="B30" s="57"/>
      <c r="E30" s="23"/>
      <c r="F30" s="39"/>
      <c r="H30" s="67" t="s">
        <v>34</v>
      </c>
      <c r="K30" s="33">
        <v>0.0</v>
      </c>
      <c r="L30" s="34">
        <v>100.0</v>
      </c>
      <c r="M30" s="60">
        <v>0.0</v>
      </c>
      <c r="N30" s="16">
        <f>if(($F$25-($L30-$K30))&gt;0,($L30-$K30),($F$25-($L30-$K30)))</f>
        <v>100</v>
      </c>
      <c r="O30" s="62">
        <f t="shared" si="6"/>
        <v>0</v>
      </c>
      <c r="R30" s="5"/>
    </row>
    <row r="31">
      <c r="B31" s="57"/>
      <c r="E31" s="8" t="s">
        <v>35</v>
      </c>
      <c r="F31" s="68">
        <f t="array" ref="F31">INDEX(Table6[Years ],MATCH(TRUE,Table6[Break Even ]&gt;=0,0)-1)+ABS(INDEX(Table6[Break Even ],MATCH(TRUE,Table6[Break Even ]&gt;=0,0)-1))/(INDEX(Table6[Break Even ],MATCH(TRUE,Table6[Break Even ]&gt;=0,0))-INDEX(Table6[Break Even ],MATCH(TRUE,Table6[Break Even ]&gt;=0,0)-1))</f>
        <v>3.958868676</v>
      </c>
      <c r="G31" s="69"/>
      <c r="H31" s="70">
        <f t="array" ref="H31">INDEX(Table6[Years ],MATCH(TRUE,Table6[Break Even (Rental)]&gt;=0,0)-1)+ABS(INDEX(Table6[Break Even (Rental)],MATCH(TRUE,Table6[Break Even (Rental)]&gt;=0,0)-1))/(INDEX(Table6[Break Even (Rental)],MATCH(TRUE,Table6[Break Even (Rental)]&gt;=0,0))-INDEX(Table6[Break Even (Rental)],MATCH(TRUE,Table6[Break Even (Rental)]&gt;=0,0)-1))</f>
        <v>1.306555521</v>
      </c>
      <c r="I31" s="71"/>
      <c r="R31" s="5"/>
    </row>
    <row r="32">
      <c r="B32" s="57"/>
      <c r="E32" s="33" t="s">
        <v>36</v>
      </c>
      <c r="F32" s="72" t="str">
        <f>INT(F31)&amp;" years"</f>
        <v>3 years</v>
      </c>
      <c r="G32" s="73" t="str">
        <f>ROUNDUP((F31-INT(F31))*12,0)&amp; " months"</f>
        <v>12 months</v>
      </c>
      <c r="H32" s="74" t="str">
        <f>INT(H31)&amp;" years"</f>
        <v>1 years</v>
      </c>
      <c r="I32" s="75" t="str">
        <f>ROUNDUP((H31-INT(H31))*12,0)&amp; " months"</f>
        <v>4 months</v>
      </c>
      <c r="R32" s="5"/>
    </row>
    <row r="33">
      <c r="B33" s="57"/>
      <c r="D33" s="76"/>
      <c r="R33" s="5"/>
    </row>
    <row r="34">
      <c r="B34" s="57"/>
      <c r="F34" s="23" t="s">
        <v>37</v>
      </c>
      <c r="G34" s="77">
        <v>0.02</v>
      </c>
      <c r="R34" s="5"/>
    </row>
    <row r="35">
      <c r="B35" s="57"/>
      <c r="R35" s="5"/>
    </row>
    <row r="36" ht="43.5" customHeight="1">
      <c r="B36" s="57"/>
      <c r="E36" s="78" t="s">
        <v>38</v>
      </c>
      <c r="F36" s="79" t="s">
        <v>39</v>
      </c>
      <c r="G36" s="79" t="s">
        <v>40</v>
      </c>
      <c r="H36" s="80" t="s">
        <v>41</v>
      </c>
      <c r="I36" s="80" t="s">
        <v>42</v>
      </c>
      <c r="J36" s="79" t="s">
        <v>43</v>
      </c>
      <c r="K36" s="81" t="s">
        <v>44</v>
      </c>
      <c r="L36" s="82" t="s">
        <v>45</v>
      </c>
      <c r="M36" s="83" t="s">
        <v>46</v>
      </c>
      <c r="N36" s="84" t="s">
        <v>47</v>
      </c>
      <c r="O36" s="84" t="s">
        <v>48</v>
      </c>
      <c r="Q36" s="23" t="s">
        <v>49</v>
      </c>
      <c r="S36" s="85">
        <v>8.0</v>
      </c>
    </row>
    <row r="37" ht="22.5" customHeight="1">
      <c r="B37" s="86"/>
      <c r="E37" s="78">
        <v>1.0</v>
      </c>
      <c r="F37" s="87">
        <f>F29</f>
        <v>81107.925</v>
      </c>
      <c r="G37" s="88">
        <f t="shared" ref="G37:G48" si="9">0.1*F37</f>
        <v>8110.7925</v>
      </c>
      <c r="H37" s="87">
        <f t="shared" ref="H37:I37" si="8">F37/6</f>
        <v>13517.9875</v>
      </c>
      <c r="I37" s="87">
        <f t="shared" si="8"/>
        <v>1351.79875</v>
      </c>
      <c r="J37" s="87">
        <f t="shared" ref="J37:J56" si="11">F37-G37</f>
        <v>72997.1325</v>
      </c>
      <c r="K37" s="88">
        <f>F37</f>
        <v>81107.925</v>
      </c>
      <c r="L37" s="89">
        <f>C9+G37</f>
        <v>305790.114</v>
      </c>
      <c r="M37" s="89">
        <f>-C9+J37</f>
        <v>-224682.189</v>
      </c>
      <c r="N37" s="90" t="str">
        <f>J37+'On-grid System sizing calculato'!$L$17</f>
        <v>#DIV/0!</v>
      </c>
      <c r="O37" s="87">
        <f>-C9-G37+'On-grid System sizing calculato'!I17+S38</f>
        <v>-69806.074</v>
      </c>
      <c r="Q37" s="23" t="s">
        <v>50</v>
      </c>
      <c r="S37" s="48">
        <f>Energy_Usage_kWh[[#TOTALS],[(2025-2026) kWh]]</f>
        <v>19486.53</v>
      </c>
    </row>
    <row r="38" ht="22.5" customHeight="1">
      <c r="B38" s="86"/>
      <c r="E38" s="78">
        <v>2.0</v>
      </c>
      <c r="F38" s="87">
        <f t="shared" ref="F38:F56" si="13">F37*(1+$G$34)</f>
        <v>82730.0835</v>
      </c>
      <c r="G38" s="88">
        <f t="shared" si="9"/>
        <v>8273.00835</v>
      </c>
      <c r="H38" s="87">
        <f t="shared" ref="H38:I38" si="10">F38/6</f>
        <v>13788.34725</v>
      </c>
      <c r="I38" s="87">
        <f t="shared" si="10"/>
        <v>1378.834725</v>
      </c>
      <c r="J38" s="87">
        <f t="shared" si="11"/>
        <v>74457.07515</v>
      </c>
      <c r="K38" s="87">
        <f t="shared" ref="K38:L38" si="12">K37+F38</f>
        <v>163838.0085</v>
      </c>
      <c r="L38" s="91">
        <f t="shared" si="12"/>
        <v>314063.1224</v>
      </c>
      <c r="M38" s="87">
        <f t="shared" ref="M38:M46" si="16">M37+J38</f>
        <v>-150225.1139</v>
      </c>
      <c r="N38" s="90" t="str">
        <f>J38+'On-grid System sizing calculato'!$L$17</f>
        <v>#DIV/0!</v>
      </c>
      <c r="O38" s="87">
        <f>O37-G38+'On-grid System sizing calculato'!I17+$S$38</f>
        <v>157904.9577</v>
      </c>
      <c r="Q38" s="92" t="s">
        <v>51</v>
      </c>
      <c r="S38" s="93">
        <f>S37*S36</f>
        <v>155892.24</v>
      </c>
    </row>
    <row r="39" ht="22.5" customHeight="1">
      <c r="B39" s="86"/>
      <c r="E39" s="78">
        <v>3.0</v>
      </c>
      <c r="F39" s="87">
        <f t="shared" si="13"/>
        <v>84384.68517</v>
      </c>
      <c r="G39" s="88">
        <f t="shared" si="9"/>
        <v>8438.468517</v>
      </c>
      <c r="H39" s="87">
        <f t="shared" ref="H39:I39" si="14">F39/6</f>
        <v>14064.1142</v>
      </c>
      <c r="I39" s="87">
        <f t="shared" si="14"/>
        <v>1406.41142</v>
      </c>
      <c r="J39" s="87">
        <f t="shared" si="11"/>
        <v>75946.21665</v>
      </c>
      <c r="K39" s="87">
        <f t="shared" ref="K39:L39" si="15">K38+F39</f>
        <v>248222.6937</v>
      </c>
      <c r="L39" s="91">
        <f t="shared" si="15"/>
        <v>322501.5909</v>
      </c>
      <c r="M39" s="87">
        <f t="shared" si="16"/>
        <v>-74278.8972</v>
      </c>
      <c r="N39" s="90" t="str">
        <f>J39+'On-grid System sizing calculato'!$L$17</f>
        <v>#DIV/0!</v>
      </c>
      <c r="O39" s="87">
        <f>O38-G39+'On-grid System sizing calculato'!I27+$S$38</f>
        <v>305358.7291</v>
      </c>
      <c r="Q39" s="23" t="s">
        <v>52</v>
      </c>
      <c r="S39" s="93">
        <f>G37</f>
        <v>8110.7925</v>
      </c>
    </row>
    <row r="40" ht="22.5" customHeight="1">
      <c r="B40" s="86"/>
      <c r="E40" s="78">
        <v>4.0</v>
      </c>
      <c r="F40" s="87">
        <f t="shared" si="13"/>
        <v>86072.37887</v>
      </c>
      <c r="G40" s="88">
        <f t="shared" si="9"/>
        <v>8607.237887</v>
      </c>
      <c r="H40" s="87">
        <f t="shared" ref="H40:I40" si="17">F40/6</f>
        <v>14345.39648</v>
      </c>
      <c r="I40" s="87">
        <f t="shared" si="17"/>
        <v>1434.539648</v>
      </c>
      <c r="J40" s="87">
        <f t="shared" si="11"/>
        <v>77465.14099</v>
      </c>
      <c r="K40" s="87">
        <f t="shared" ref="K40:L40" si="18">K39+F40</f>
        <v>334295.0725</v>
      </c>
      <c r="L40" s="91">
        <f t="shared" si="18"/>
        <v>331108.8288</v>
      </c>
      <c r="M40" s="87">
        <f t="shared" si="16"/>
        <v>3186.243789</v>
      </c>
      <c r="N40" s="90" t="str">
        <f>J40+'On-grid System sizing calculato'!$L$17</f>
        <v>#DIV/0!</v>
      </c>
      <c r="O40" s="90" t="str">
        <f t="shared" ref="O40:O49" si="21">O39-G40+#REF!+$S$38</f>
        <v>#REF!</v>
      </c>
      <c r="S40" s="5"/>
    </row>
    <row r="41" ht="22.5" customHeight="1">
      <c r="B41" s="86"/>
      <c r="E41" s="78">
        <v>5.0</v>
      </c>
      <c r="F41" s="87">
        <f t="shared" si="13"/>
        <v>87793.82645</v>
      </c>
      <c r="G41" s="88">
        <f t="shared" si="9"/>
        <v>8779.382645</v>
      </c>
      <c r="H41" s="87">
        <f t="shared" ref="H41:I41" si="19">F41/6</f>
        <v>14632.30441</v>
      </c>
      <c r="I41" s="87">
        <f t="shared" si="19"/>
        <v>1463.230441</v>
      </c>
      <c r="J41" s="87">
        <f t="shared" si="11"/>
        <v>79014.44381</v>
      </c>
      <c r="K41" s="87">
        <f t="shared" ref="K41:L41" si="20">K40+F41</f>
        <v>422088.899</v>
      </c>
      <c r="L41" s="91">
        <f t="shared" si="20"/>
        <v>339888.2114</v>
      </c>
      <c r="M41" s="87">
        <f t="shared" si="16"/>
        <v>82200.68759</v>
      </c>
      <c r="N41" s="90" t="str">
        <f>J41+'On-grid System sizing calculato'!$L$17</f>
        <v>#DIV/0!</v>
      </c>
      <c r="O41" s="90" t="str">
        <f t="shared" si="21"/>
        <v>#REF!</v>
      </c>
      <c r="S41" s="5"/>
    </row>
    <row r="42" ht="22.5" customHeight="1">
      <c r="B42" s="86"/>
      <c r="E42" s="78">
        <v>6.0</v>
      </c>
      <c r="F42" s="87">
        <f t="shared" si="13"/>
        <v>89549.70298</v>
      </c>
      <c r="G42" s="88">
        <f t="shared" si="9"/>
        <v>8954.970298</v>
      </c>
      <c r="H42" s="87">
        <f t="shared" ref="H42:I42" si="22">F42/6</f>
        <v>14924.9505</v>
      </c>
      <c r="I42" s="87">
        <f t="shared" si="22"/>
        <v>1492.49505</v>
      </c>
      <c r="J42" s="87">
        <f t="shared" si="11"/>
        <v>80594.73268</v>
      </c>
      <c r="K42" s="87">
        <f t="shared" ref="K42:L42" si="23">K41+F42</f>
        <v>511638.602</v>
      </c>
      <c r="L42" s="91">
        <f t="shared" si="23"/>
        <v>348843.1817</v>
      </c>
      <c r="M42" s="87">
        <f t="shared" si="16"/>
        <v>162795.4203</v>
      </c>
      <c r="N42" s="90" t="str">
        <f>J42+'On-grid System sizing calculato'!$L$17</f>
        <v>#DIV/0!</v>
      </c>
      <c r="O42" s="90" t="str">
        <f t="shared" si="21"/>
        <v>#REF!</v>
      </c>
      <c r="S42" s="5"/>
    </row>
    <row r="43" ht="22.5" customHeight="1">
      <c r="B43" s="86"/>
      <c r="E43" s="78">
        <v>7.0</v>
      </c>
      <c r="F43" s="87">
        <f t="shared" si="13"/>
        <v>91340.69704</v>
      </c>
      <c r="G43" s="88">
        <f t="shared" si="9"/>
        <v>9134.069704</v>
      </c>
      <c r="H43" s="87">
        <f t="shared" ref="H43:I43" si="24">F43/6</f>
        <v>15223.44951</v>
      </c>
      <c r="I43" s="87">
        <f t="shared" si="24"/>
        <v>1522.344951</v>
      </c>
      <c r="J43" s="87">
        <f t="shared" si="11"/>
        <v>82206.62734</v>
      </c>
      <c r="K43" s="87">
        <f t="shared" ref="K43:L43" si="25">K42+F43</f>
        <v>602979.299</v>
      </c>
      <c r="L43" s="91">
        <f t="shared" si="25"/>
        <v>357977.2514</v>
      </c>
      <c r="M43" s="87">
        <f t="shared" si="16"/>
        <v>245002.0476</v>
      </c>
      <c r="N43" s="90" t="str">
        <f>J43+'On-grid System sizing calculato'!$L$17</f>
        <v>#DIV/0!</v>
      </c>
      <c r="O43" s="90" t="str">
        <f t="shared" si="21"/>
        <v>#REF!</v>
      </c>
      <c r="S43" s="5"/>
    </row>
    <row r="44" ht="22.5" customHeight="1">
      <c r="B44" s="86"/>
      <c r="E44" s="78">
        <v>8.0</v>
      </c>
      <c r="F44" s="87">
        <f t="shared" si="13"/>
        <v>93167.51098</v>
      </c>
      <c r="G44" s="88">
        <f t="shared" si="9"/>
        <v>9316.751098</v>
      </c>
      <c r="H44" s="87">
        <f t="shared" ref="H44:I44" si="26">F44/6</f>
        <v>15527.9185</v>
      </c>
      <c r="I44" s="87">
        <f t="shared" si="26"/>
        <v>1552.79185</v>
      </c>
      <c r="J44" s="87">
        <f t="shared" si="11"/>
        <v>83850.75988</v>
      </c>
      <c r="K44" s="87">
        <f t="shared" ref="K44:L44" si="27">K43+F44</f>
        <v>696146.81</v>
      </c>
      <c r="L44" s="91">
        <f t="shared" si="27"/>
        <v>367294.0025</v>
      </c>
      <c r="M44" s="87">
        <f t="shared" si="16"/>
        <v>328852.8075</v>
      </c>
      <c r="N44" s="90" t="str">
        <f>J44+'On-grid System sizing calculato'!$L$17</f>
        <v>#DIV/0!</v>
      </c>
      <c r="O44" s="90" t="str">
        <f t="shared" si="21"/>
        <v>#REF!</v>
      </c>
      <c r="S44" s="5"/>
    </row>
    <row r="45" ht="22.5" customHeight="1">
      <c r="B45" s="86"/>
      <c r="E45" s="78">
        <v>9.0</v>
      </c>
      <c r="F45" s="87">
        <f t="shared" si="13"/>
        <v>95030.8612</v>
      </c>
      <c r="G45" s="88">
        <f t="shared" si="9"/>
        <v>9503.08612</v>
      </c>
      <c r="H45" s="87">
        <f t="shared" ref="H45:I45" si="28">F45/6</f>
        <v>15838.47687</v>
      </c>
      <c r="I45" s="87">
        <f t="shared" si="28"/>
        <v>1583.847687</v>
      </c>
      <c r="J45" s="87">
        <f t="shared" si="11"/>
        <v>85527.77508</v>
      </c>
      <c r="K45" s="87">
        <f t="shared" ref="K45:L45" si="29">K44+F45</f>
        <v>791177.6712</v>
      </c>
      <c r="L45" s="91">
        <f t="shared" si="29"/>
        <v>376797.0886</v>
      </c>
      <c r="M45" s="87">
        <f t="shared" si="16"/>
        <v>414380.5826</v>
      </c>
      <c r="N45" s="90" t="str">
        <f>J45+'On-grid System sizing calculato'!$L$17</f>
        <v>#DIV/0!</v>
      </c>
      <c r="O45" s="90" t="str">
        <f t="shared" si="21"/>
        <v>#REF!</v>
      </c>
      <c r="S45" s="5"/>
    </row>
    <row r="46" ht="22.5" customHeight="1">
      <c r="B46" s="57"/>
      <c r="E46" s="78">
        <v>10.0</v>
      </c>
      <c r="F46" s="87">
        <f t="shared" si="13"/>
        <v>96931.47842</v>
      </c>
      <c r="G46" s="88">
        <f t="shared" si="9"/>
        <v>9693.147842</v>
      </c>
      <c r="H46" s="87">
        <f t="shared" ref="H46:I46" si="30">F46/6</f>
        <v>16155.2464</v>
      </c>
      <c r="I46" s="87">
        <f t="shared" si="30"/>
        <v>1615.52464</v>
      </c>
      <c r="J46" s="87">
        <f t="shared" si="11"/>
        <v>87238.33058</v>
      </c>
      <c r="K46" s="87">
        <f t="shared" ref="K46:L46" si="31">K45+F46</f>
        <v>888109.1496</v>
      </c>
      <c r="L46" s="91">
        <f t="shared" si="31"/>
        <v>386490.2365</v>
      </c>
      <c r="M46" s="87">
        <f t="shared" si="16"/>
        <v>501618.9132</v>
      </c>
      <c r="N46" s="90" t="str">
        <f>J46+'On-grid System sizing calculato'!$L$17</f>
        <v>#DIV/0!</v>
      </c>
      <c r="O46" s="90" t="str">
        <f t="shared" si="21"/>
        <v>#REF!</v>
      </c>
      <c r="S46" s="5"/>
    </row>
    <row r="47" ht="22.5" customHeight="1">
      <c r="B47" s="57"/>
      <c r="E47" s="78">
        <v>11.0</v>
      </c>
      <c r="F47" s="87">
        <f t="shared" si="13"/>
        <v>98870.10799</v>
      </c>
      <c r="G47" s="88">
        <f t="shared" si="9"/>
        <v>9887.010799</v>
      </c>
      <c r="H47" s="87">
        <f t="shared" ref="H47:I47" si="32">F47/6</f>
        <v>16478.35133</v>
      </c>
      <c r="I47" s="87">
        <f t="shared" si="32"/>
        <v>1647.835133</v>
      </c>
      <c r="J47" s="87">
        <f t="shared" si="11"/>
        <v>88983.09719</v>
      </c>
      <c r="K47" s="87">
        <f t="shared" ref="K47:K56" si="34">K46+F47</f>
        <v>986979.2576</v>
      </c>
      <c r="L47" s="91">
        <f>L46+G47+C17</f>
        <v>451177.1673</v>
      </c>
      <c r="M47" s="87">
        <f>M46+J47-C17</f>
        <v>535802.0903</v>
      </c>
      <c r="N47" s="90" t="str">
        <f>J47+'On-grid System sizing calculato'!$L$17</f>
        <v>#DIV/0!</v>
      </c>
      <c r="O47" s="90" t="str">
        <f t="shared" si="21"/>
        <v>#REF!</v>
      </c>
      <c r="S47" s="5"/>
    </row>
    <row r="48" ht="22.5" customHeight="1">
      <c r="B48" s="57"/>
      <c r="E48" s="78">
        <v>12.0</v>
      </c>
      <c r="F48" s="87">
        <f t="shared" si="13"/>
        <v>100847.5102</v>
      </c>
      <c r="G48" s="88">
        <f t="shared" si="9"/>
        <v>10084.75102</v>
      </c>
      <c r="H48" s="87">
        <f t="shared" ref="H48:I48" si="33">F48/6</f>
        <v>16807.91836</v>
      </c>
      <c r="I48" s="87">
        <f t="shared" si="33"/>
        <v>1680.791836</v>
      </c>
      <c r="J48" s="87">
        <f t="shared" si="11"/>
        <v>90762.75914</v>
      </c>
      <c r="K48" s="87">
        <f t="shared" si="34"/>
        <v>1087826.768</v>
      </c>
      <c r="L48" s="91">
        <f t="shared" ref="L48:L56" si="36">L47+G48</f>
        <v>461261.9183</v>
      </c>
      <c r="M48" s="87">
        <f t="shared" ref="M48:M56" si="37">M47+J48</f>
        <v>626564.8495</v>
      </c>
      <c r="N48" s="90" t="str">
        <f>J48+'On-grid System sizing calculato'!$L$17</f>
        <v>#DIV/0!</v>
      </c>
      <c r="O48" s="90" t="str">
        <f t="shared" si="21"/>
        <v>#REF!</v>
      </c>
      <c r="S48" s="5"/>
    </row>
    <row r="49" ht="22.5" customHeight="1">
      <c r="B49" s="57"/>
      <c r="E49" s="78">
        <v>13.0</v>
      </c>
      <c r="F49" s="87">
        <f t="shared" si="13"/>
        <v>102864.4604</v>
      </c>
      <c r="G49" s="88">
        <f>0.11*F49</f>
        <v>11315.09064</v>
      </c>
      <c r="H49" s="87">
        <f t="shared" ref="H49:I49" si="35">F49/6</f>
        <v>17144.07673</v>
      </c>
      <c r="I49" s="87">
        <f t="shared" si="35"/>
        <v>1885.84844</v>
      </c>
      <c r="J49" s="87">
        <f t="shared" si="11"/>
        <v>91549.36972</v>
      </c>
      <c r="K49" s="87">
        <f t="shared" si="34"/>
        <v>1190691.228</v>
      </c>
      <c r="L49" s="91">
        <f t="shared" si="36"/>
        <v>472577.0089</v>
      </c>
      <c r="M49" s="87">
        <f t="shared" si="37"/>
        <v>718114.2192</v>
      </c>
      <c r="N49" s="90" t="str">
        <f>J49+'On-grid System sizing calculato'!$L$17</f>
        <v>#DIV/0!</v>
      </c>
      <c r="O49" s="90" t="str">
        <f t="shared" si="21"/>
        <v>#REF!</v>
      </c>
      <c r="S49" s="5"/>
    </row>
    <row r="50" ht="22.5" customHeight="1">
      <c r="B50" s="57"/>
      <c r="E50" s="78">
        <v>14.0</v>
      </c>
      <c r="F50" s="87">
        <f t="shared" si="13"/>
        <v>104921.7496</v>
      </c>
      <c r="G50" s="88">
        <f>0.12*F50</f>
        <v>12590.60995</v>
      </c>
      <c r="H50" s="87">
        <f t="shared" ref="H50:I50" si="38">F50/6</f>
        <v>17486.95826</v>
      </c>
      <c r="I50" s="87">
        <f t="shared" si="38"/>
        <v>2098.434991</v>
      </c>
      <c r="J50" s="87">
        <f t="shared" si="11"/>
        <v>92331.13961</v>
      </c>
      <c r="K50" s="87">
        <f t="shared" si="34"/>
        <v>1295612.978</v>
      </c>
      <c r="L50" s="91">
        <f t="shared" si="36"/>
        <v>485167.6189</v>
      </c>
      <c r="M50" s="87">
        <f t="shared" si="37"/>
        <v>810445.3588</v>
      </c>
      <c r="N50" s="90" t="str">
        <f>J50+'On-grid System sizing calculato'!$L$17</f>
        <v>#DIV/0!</v>
      </c>
      <c r="O50" s="90" t="str">
        <f>O49-G50+'On-grid System sizing calculato'!I34+$S$38</f>
        <v>#REF!</v>
      </c>
      <c r="S50" s="5"/>
    </row>
    <row r="51" ht="22.5" customHeight="1">
      <c r="B51" s="57"/>
      <c r="E51" s="78">
        <v>15.0</v>
      </c>
      <c r="F51" s="87">
        <f t="shared" si="13"/>
        <v>107020.1846</v>
      </c>
      <c r="G51" s="88">
        <f>0.13*F51</f>
        <v>13912.62399</v>
      </c>
      <c r="H51" s="87">
        <f t="shared" ref="H51:I51" si="39">F51/6</f>
        <v>17836.69743</v>
      </c>
      <c r="I51" s="87">
        <f t="shared" si="39"/>
        <v>2318.770665</v>
      </c>
      <c r="J51" s="87">
        <f t="shared" si="11"/>
        <v>93107.56056</v>
      </c>
      <c r="K51" s="87">
        <f t="shared" si="34"/>
        <v>1402633.162</v>
      </c>
      <c r="L51" s="91">
        <f t="shared" si="36"/>
        <v>499080.2429</v>
      </c>
      <c r="M51" s="87">
        <f t="shared" si="37"/>
        <v>903552.9194</v>
      </c>
      <c r="N51" s="90" t="str">
        <f>J51+'On-grid System sizing calculato'!$L$17</f>
        <v>#DIV/0!</v>
      </c>
      <c r="O51" s="90" t="str">
        <f>O50-G51+'On-grid System sizing calculato'!I35+$S$38</f>
        <v>#REF!</v>
      </c>
      <c r="S51" s="5"/>
    </row>
    <row r="52" ht="22.5" customHeight="1">
      <c r="B52" s="57"/>
      <c r="E52" s="78">
        <v>16.0</v>
      </c>
      <c r="F52" s="87">
        <f t="shared" si="13"/>
        <v>109160.5882</v>
      </c>
      <c r="G52" s="88">
        <f>0.14*F52</f>
        <v>15282.48235</v>
      </c>
      <c r="H52" s="87">
        <f t="shared" ref="H52:I52" si="40">F52/6</f>
        <v>18193.43137</v>
      </c>
      <c r="I52" s="87">
        <f t="shared" si="40"/>
        <v>2547.080392</v>
      </c>
      <c r="J52" s="87">
        <f t="shared" si="11"/>
        <v>93878.10589</v>
      </c>
      <c r="K52" s="87">
        <f t="shared" si="34"/>
        <v>1511793.75</v>
      </c>
      <c r="L52" s="91">
        <f t="shared" si="36"/>
        <v>514362.7252</v>
      </c>
      <c r="M52" s="87">
        <f t="shared" si="37"/>
        <v>997431.0253</v>
      </c>
      <c r="N52" s="90" t="str">
        <f>J52+'On-grid System sizing calculato'!$L$17</f>
        <v>#DIV/0!</v>
      </c>
      <c r="O52" s="90" t="str">
        <f>O51-G52+'On-grid System sizing calculato'!I36+$S$38</f>
        <v>#REF!</v>
      </c>
      <c r="S52" s="5"/>
    </row>
    <row r="53" ht="22.5" customHeight="1">
      <c r="B53" s="57"/>
      <c r="E53" s="78">
        <v>17.0</v>
      </c>
      <c r="F53" s="87">
        <f t="shared" si="13"/>
        <v>111343.8</v>
      </c>
      <c r="G53" s="88">
        <f>0.15*F53</f>
        <v>16701.57</v>
      </c>
      <c r="H53" s="87">
        <f t="shared" ref="H53:I53" si="41">F53/6</f>
        <v>18557.3</v>
      </c>
      <c r="I53" s="87">
        <f t="shared" si="41"/>
        <v>2783.595</v>
      </c>
      <c r="J53" s="87">
        <f t="shared" si="11"/>
        <v>94642.23001</v>
      </c>
      <c r="K53" s="87">
        <f t="shared" si="34"/>
        <v>1623137.55</v>
      </c>
      <c r="L53" s="91">
        <f t="shared" si="36"/>
        <v>531064.2952</v>
      </c>
      <c r="M53" s="87">
        <f t="shared" si="37"/>
        <v>1092073.255</v>
      </c>
      <c r="N53" s="90" t="str">
        <f>J53+'On-grid System sizing calculato'!$L$17</f>
        <v>#DIV/0!</v>
      </c>
      <c r="O53" s="90" t="str">
        <f>O52-G53+'On-grid System sizing calculato'!I37+$S$38</f>
        <v>#REF!</v>
      </c>
      <c r="S53" s="5"/>
    </row>
    <row r="54" ht="22.5" customHeight="1">
      <c r="B54" s="57"/>
      <c r="E54" s="78">
        <v>18.0</v>
      </c>
      <c r="F54" s="87">
        <f t="shared" si="13"/>
        <v>113570.676</v>
      </c>
      <c r="G54" s="88">
        <f>0.16*F54</f>
        <v>18171.30816</v>
      </c>
      <c r="H54" s="87">
        <f t="shared" ref="H54:I54" si="42">F54/6</f>
        <v>18928.446</v>
      </c>
      <c r="I54" s="87">
        <f t="shared" si="42"/>
        <v>3028.55136</v>
      </c>
      <c r="J54" s="87">
        <f t="shared" si="11"/>
        <v>95399.36785</v>
      </c>
      <c r="K54" s="87">
        <f t="shared" si="34"/>
        <v>1736708.226</v>
      </c>
      <c r="L54" s="91">
        <f t="shared" si="36"/>
        <v>549235.6034</v>
      </c>
      <c r="M54" s="87">
        <f t="shared" si="37"/>
        <v>1187472.623</v>
      </c>
      <c r="N54" s="90" t="str">
        <f>J54+'On-grid System sizing calculato'!$L$17</f>
        <v>#DIV/0!</v>
      </c>
      <c r="O54" s="90" t="str">
        <f>O53-G54+'On-grid System sizing calculato'!I38+$S$38</f>
        <v>#REF!</v>
      </c>
      <c r="S54" s="5"/>
    </row>
    <row r="55" ht="22.5" customHeight="1">
      <c r="B55" s="57"/>
      <c r="E55" s="78">
        <v>19.0</v>
      </c>
      <c r="F55" s="87">
        <f t="shared" si="13"/>
        <v>115842.0895</v>
      </c>
      <c r="G55" s="88">
        <f>0.17*F55</f>
        <v>19693.15522</v>
      </c>
      <c r="H55" s="87">
        <f t="shared" ref="H55:I55" si="43">F55/6</f>
        <v>19307.01492</v>
      </c>
      <c r="I55" s="87">
        <f t="shared" si="43"/>
        <v>3282.192537</v>
      </c>
      <c r="J55" s="87">
        <f t="shared" si="11"/>
        <v>96148.93431</v>
      </c>
      <c r="K55" s="87">
        <f t="shared" si="34"/>
        <v>1852550.316</v>
      </c>
      <c r="L55" s="91">
        <f t="shared" si="36"/>
        <v>568928.7586</v>
      </c>
      <c r="M55" s="87">
        <f t="shared" si="37"/>
        <v>1283621.557</v>
      </c>
      <c r="N55" s="90" t="str">
        <f>J55+'On-grid System sizing calculato'!$L$17</f>
        <v>#DIV/0!</v>
      </c>
      <c r="O55" s="90" t="str">
        <f>O54-G55+'On-grid System sizing calculato'!I39+$S$38</f>
        <v>#REF!</v>
      </c>
      <c r="S55" s="5"/>
    </row>
    <row r="56" ht="22.5" customHeight="1">
      <c r="B56" s="57"/>
      <c r="E56" s="78">
        <v>20.0</v>
      </c>
      <c r="F56" s="87">
        <f t="shared" si="13"/>
        <v>118158.9313</v>
      </c>
      <c r="G56" s="88">
        <f>0.18*F56</f>
        <v>21268.60764</v>
      </c>
      <c r="H56" s="87">
        <f t="shared" ref="H56:I56" si="44">F56/6</f>
        <v>19693.15522</v>
      </c>
      <c r="I56" s="87">
        <f t="shared" si="44"/>
        <v>3544.76794</v>
      </c>
      <c r="J56" s="87">
        <f t="shared" si="11"/>
        <v>96890.32368</v>
      </c>
      <c r="K56" s="87">
        <f t="shared" si="34"/>
        <v>1970709.247</v>
      </c>
      <c r="L56" s="91">
        <f t="shared" si="36"/>
        <v>590197.3662</v>
      </c>
      <c r="M56" s="87">
        <f t="shared" si="37"/>
        <v>1380511.881</v>
      </c>
      <c r="N56" s="90" t="str">
        <f>J56+'On-grid System sizing calculato'!$L$17</f>
        <v>#DIV/0!</v>
      </c>
      <c r="O56" s="90" t="str">
        <f>O55-G56+'On-grid System sizing calculato'!I40+$S$38</f>
        <v>#REF!</v>
      </c>
      <c r="S56" s="5"/>
    </row>
    <row r="57" ht="22.5" customHeight="1">
      <c r="B57" s="57"/>
      <c r="E57" s="94" t="s">
        <v>53</v>
      </c>
      <c r="F57" s="95">
        <f>SUM(Table6[Yearly Bill without solar (with tarif increase)])</f>
        <v>1970709.247</v>
      </c>
      <c r="G57" s="95">
        <f>SUM(G37:G51)</f>
        <v>146601.0014</v>
      </c>
      <c r="H57" s="96"/>
      <c r="I57" s="96"/>
      <c r="J57" s="95">
        <f>SUM(Table6[Yearly savings ])</f>
        <v>1732991.123</v>
      </c>
      <c r="K57" s="97">
        <f>(K56/K56)</f>
        <v>1</v>
      </c>
      <c r="L57" s="97">
        <f>(L56/K56)</f>
        <v>0.29948475</v>
      </c>
      <c r="M57" s="98"/>
      <c r="S57" s="5"/>
    </row>
    <row r="58">
      <c r="B58" s="57"/>
      <c r="R58" s="5"/>
    </row>
    <row r="59">
      <c r="B59" s="57"/>
      <c r="R59" s="5"/>
    </row>
    <row r="60">
      <c r="B60" s="57"/>
      <c r="F60" s="45"/>
      <c r="R60" s="5"/>
    </row>
    <row r="61">
      <c r="B61" s="99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1"/>
    </row>
    <row r="82">
      <c r="C82" s="23" t="s">
        <v>54</v>
      </c>
      <c r="H82" s="23"/>
      <c r="I82" s="23" t="s">
        <v>55</v>
      </c>
    </row>
    <row r="103">
      <c r="C103" s="23" t="s">
        <v>56</v>
      </c>
    </row>
  </sheetData>
  <mergeCells count="6">
    <mergeCell ref="H5:I5"/>
    <mergeCell ref="N5:O5"/>
    <mergeCell ref="T5:U5"/>
    <mergeCell ref="H30:I30"/>
    <mergeCell ref="F31:G31"/>
    <mergeCell ref="H31:I31"/>
  </mergeCells>
  <dataValidations>
    <dataValidation type="custom" allowBlank="1" showDropDown="1" sqref="F37:G56 J37:L56">
      <formula1>AND(ISNUMBER(F37),(NOT(OR(NOT(ISERROR(DATEVALUE(F37))), AND(ISNUMBER(F37), LEFT(CELL("format", F37))="D")))))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9.88"/>
    <col customWidth="1" min="6" max="6" width="13.75"/>
    <col customWidth="1" min="14" max="14" width="13.38"/>
    <col customWidth="1" min="20" max="20" width="25.13"/>
  </cols>
  <sheetData>
    <row r="1">
      <c r="B1" s="23" t="s">
        <v>57</v>
      </c>
      <c r="C1" s="23">
        <v>6000.0</v>
      </c>
    </row>
    <row r="2">
      <c r="B2" s="102" t="s">
        <v>58</v>
      </c>
      <c r="C2" s="103"/>
      <c r="D2" s="102" t="s">
        <v>59</v>
      </c>
      <c r="E2" s="102" t="s">
        <v>60</v>
      </c>
      <c r="F2" s="102" t="s">
        <v>61</v>
      </c>
      <c r="G2" s="102" t="s">
        <v>62</v>
      </c>
      <c r="H2" s="102" t="s">
        <v>63</v>
      </c>
      <c r="I2" s="102" t="s">
        <v>64</v>
      </c>
      <c r="J2" s="102" t="s">
        <v>65</v>
      </c>
      <c r="K2" s="102" t="s">
        <v>66</v>
      </c>
      <c r="M2" s="102" t="s">
        <v>67</v>
      </c>
      <c r="N2" s="102" t="s">
        <v>68</v>
      </c>
    </row>
    <row r="3">
      <c r="A3" s="23" t="s">
        <v>69</v>
      </c>
      <c r="B3" s="104" t="s">
        <v>70</v>
      </c>
      <c r="C3" s="104">
        <v>615.0</v>
      </c>
      <c r="D3" s="105">
        <v>11.0</v>
      </c>
      <c r="E3" s="43" t="s">
        <v>71</v>
      </c>
      <c r="F3" s="104">
        <v>26.0</v>
      </c>
      <c r="G3" s="106">
        <f t="shared" ref="G3:G4" si="1">D3*F3*C3</f>
        <v>175890</v>
      </c>
      <c r="H3" s="106">
        <f>G3*0.2</f>
        <v>35178</v>
      </c>
      <c r="I3" s="39">
        <f t="shared" ref="I3:I15" si="2">G3+H3</f>
        <v>211068</v>
      </c>
      <c r="J3" s="37">
        <v>0.05</v>
      </c>
      <c r="K3" s="48">
        <f t="shared" ref="K3:K5" si="3">I3*1.05</f>
        <v>221621.4</v>
      </c>
      <c r="L3" s="107">
        <f>K3/$K$16</f>
        <v>0.5825516592</v>
      </c>
      <c r="M3" s="48">
        <f t="shared" ref="M3:M4" si="4">K3/D3</f>
        <v>20147.4</v>
      </c>
      <c r="N3" s="108">
        <f>M3-M4</f>
        <v>7522.9875</v>
      </c>
      <c r="P3" s="107"/>
    </row>
    <row r="4">
      <c r="A4" s="23" t="s">
        <v>72</v>
      </c>
      <c r="B4" s="104" t="s">
        <v>73</v>
      </c>
      <c r="C4" s="104">
        <v>615.0</v>
      </c>
      <c r="D4" s="105">
        <v>11.0</v>
      </c>
      <c r="E4" s="43" t="s">
        <v>71</v>
      </c>
      <c r="F4" s="104">
        <v>17.0</v>
      </c>
      <c r="G4" s="106">
        <f t="shared" si="1"/>
        <v>115005</v>
      </c>
      <c r="H4" s="106">
        <f>G4*0.15</f>
        <v>17250.75</v>
      </c>
      <c r="I4" s="39">
        <f t="shared" si="2"/>
        <v>132255.75</v>
      </c>
      <c r="J4" s="37">
        <v>0.05</v>
      </c>
      <c r="K4" s="48">
        <f t="shared" si="3"/>
        <v>138868.5375</v>
      </c>
      <c r="L4" s="107">
        <f>K4/K18</f>
        <v>0.4665038095</v>
      </c>
      <c r="M4" s="48">
        <f t="shared" si="4"/>
        <v>12624.4125</v>
      </c>
      <c r="P4" s="107"/>
    </row>
    <row r="5">
      <c r="A5" s="23" t="s">
        <v>74</v>
      </c>
      <c r="B5" s="104" t="s">
        <v>75</v>
      </c>
      <c r="C5" s="109" t="s">
        <v>76</v>
      </c>
      <c r="D5" s="104">
        <v>1.0</v>
      </c>
      <c r="E5" s="43" t="s">
        <v>71</v>
      </c>
      <c r="F5" s="104">
        <v>43492.0</v>
      </c>
      <c r="G5" s="110">
        <f>D5*F5</f>
        <v>43492</v>
      </c>
      <c r="H5" s="106">
        <f t="shared" ref="H5:H9" si="5">G5*0.2</f>
        <v>8698.4</v>
      </c>
      <c r="I5" s="39">
        <f t="shared" si="2"/>
        <v>52190.4</v>
      </c>
      <c r="J5" s="37">
        <v>0.05</v>
      </c>
      <c r="K5" s="48">
        <f t="shared" si="3"/>
        <v>54799.92</v>
      </c>
      <c r="L5" s="107">
        <f t="shared" ref="L5:L15" si="6">K5/$K$16</f>
        <v>0.1440464879</v>
      </c>
      <c r="N5" s="45"/>
      <c r="P5" s="107"/>
    </row>
    <row r="6">
      <c r="B6" s="104" t="s">
        <v>77</v>
      </c>
      <c r="C6" s="109"/>
      <c r="D6" s="109">
        <v>1.0</v>
      </c>
      <c r="E6" s="43" t="s">
        <v>71</v>
      </c>
      <c r="F6" s="104">
        <v>4950.0</v>
      </c>
      <c r="G6" s="110">
        <f t="shared" ref="G6:G7" si="7">F6*D6</f>
        <v>4950</v>
      </c>
      <c r="H6" s="106">
        <f t="shared" si="5"/>
        <v>990</v>
      </c>
      <c r="I6" s="39">
        <f t="shared" si="2"/>
        <v>5940</v>
      </c>
      <c r="J6" s="37">
        <v>0.18</v>
      </c>
      <c r="K6" s="48">
        <f t="shared" ref="K6:K15" si="8">I6*1.18</f>
        <v>7009.2</v>
      </c>
      <c r="L6" s="107">
        <f t="shared" si="6"/>
        <v>0.01842430871</v>
      </c>
      <c r="P6" s="107"/>
    </row>
    <row r="7">
      <c r="B7" s="104" t="s">
        <v>78</v>
      </c>
      <c r="C7" s="109"/>
      <c r="D7" s="109">
        <v>1.0</v>
      </c>
      <c r="E7" s="43" t="s">
        <v>71</v>
      </c>
      <c r="F7" s="104">
        <v>4250.0</v>
      </c>
      <c r="G7" s="110">
        <f t="shared" si="7"/>
        <v>4250</v>
      </c>
      <c r="H7" s="106">
        <f t="shared" si="5"/>
        <v>850</v>
      </c>
      <c r="I7" s="39">
        <f t="shared" si="2"/>
        <v>5100</v>
      </c>
      <c r="J7" s="37">
        <v>0.18</v>
      </c>
      <c r="K7" s="48">
        <f t="shared" si="8"/>
        <v>6018</v>
      </c>
      <c r="L7" s="107">
        <f t="shared" si="6"/>
        <v>0.01581885091</v>
      </c>
      <c r="P7" s="107"/>
    </row>
    <row r="8">
      <c r="B8" s="104" t="s">
        <v>79</v>
      </c>
      <c r="C8" s="109"/>
      <c r="D8" s="109" t="s">
        <v>80</v>
      </c>
      <c r="E8" s="109" t="s">
        <v>80</v>
      </c>
      <c r="F8" s="104">
        <v>4000.0</v>
      </c>
      <c r="G8" s="110">
        <f>F8*(C1/1000)</f>
        <v>24000</v>
      </c>
      <c r="H8" s="106">
        <f t="shared" si="5"/>
        <v>4800</v>
      </c>
      <c r="I8" s="39">
        <f t="shared" si="2"/>
        <v>28800</v>
      </c>
      <c r="J8" s="37">
        <v>0.18</v>
      </c>
      <c r="K8" s="48">
        <f t="shared" si="8"/>
        <v>33984</v>
      </c>
      <c r="L8" s="107">
        <f t="shared" si="6"/>
        <v>0.08932998161</v>
      </c>
      <c r="P8" s="107"/>
    </row>
    <row r="9">
      <c r="B9" s="104" t="s">
        <v>81</v>
      </c>
      <c r="C9" s="109" t="s">
        <v>82</v>
      </c>
      <c r="D9" s="109">
        <v>3.0</v>
      </c>
      <c r="E9" s="43" t="s">
        <v>71</v>
      </c>
      <c r="F9" s="104">
        <v>3500.0</v>
      </c>
      <c r="G9" s="110">
        <f>F9</f>
        <v>3500</v>
      </c>
      <c r="H9" s="106">
        <f t="shared" si="5"/>
        <v>700</v>
      </c>
      <c r="I9" s="39">
        <f t="shared" si="2"/>
        <v>4200</v>
      </c>
      <c r="J9" s="37">
        <v>0.18</v>
      </c>
      <c r="K9" s="48">
        <f t="shared" si="8"/>
        <v>4956</v>
      </c>
      <c r="L9" s="107">
        <f t="shared" si="6"/>
        <v>0.01302728898</v>
      </c>
      <c r="P9" s="107"/>
    </row>
    <row r="10">
      <c r="B10" s="104" t="s">
        <v>83</v>
      </c>
      <c r="C10" s="109" t="s">
        <v>84</v>
      </c>
      <c r="D10" s="109">
        <v>1.0</v>
      </c>
      <c r="E10" s="43" t="s">
        <v>71</v>
      </c>
      <c r="F10" s="111"/>
      <c r="G10" s="110">
        <v>0.0</v>
      </c>
      <c r="H10" s="106">
        <f>G10*0.15</f>
        <v>0</v>
      </c>
      <c r="I10" s="39">
        <f t="shared" si="2"/>
        <v>0</v>
      </c>
      <c r="J10" s="37">
        <v>0.18</v>
      </c>
      <c r="K10" s="48">
        <f t="shared" si="8"/>
        <v>0</v>
      </c>
      <c r="L10" s="107">
        <f t="shared" si="6"/>
        <v>0</v>
      </c>
      <c r="P10" s="107"/>
    </row>
    <row r="11">
      <c r="B11" s="104" t="s">
        <v>85</v>
      </c>
      <c r="C11" s="109"/>
      <c r="D11" s="109">
        <v>12.0</v>
      </c>
      <c r="E11" s="43" t="s">
        <v>71</v>
      </c>
      <c r="F11" s="104">
        <v>42.0</v>
      </c>
      <c r="G11" s="106">
        <f>D11*F11</f>
        <v>504</v>
      </c>
      <c r="H11" s="106">
        <f>G11*0.2</f>
        <v>100.8</v>
      </c>
      <c r="I11" s="39">
        <f t="shared" si="2"/>
        <v>604.8</v>
      </c>
      <c r="J11" s="37">
        <v>0.18</v>
      </c>
      <c r="K11" s="48">
        <f t="shared" si="8"/>
        <v>713.664</v>
      </c>
      <c r="L11" s="107">
        <f t="shared" si="6"/>
        <v>0.001875929614</v>
      </c>
      <c r="P11" s="107"/>
    </row>
    <row r="12">
      <c r="B12" s="104" t="s">
        <v>86</v>
      </c>
      <c r="C12" s="109"/>
      <c r="D12" s="109" t="s">
        <v>80</v>
      </c>
      <c r="E12" s="109" t="s">
        <v>80</v>
      </c>
      <c r="F12" s="111"/>
      <c r="G12" s="110">
        <v>4000.0</v>
      </c>
      <c r="H12" s="106">
        <f t="shared" ref="H12:H13" si="9">G12*0.25</f>
        <v>1000</v>
      </c>
      <c r="I12" s="39">
        <f t="shared" si="2"/>
        <v>5000</v>
      </c>
      <c r="J12" s="37">
        <v>0.18</v>
      </c>
      <c r="K12" s="48">
        <f t="shared" si="8"/>
        <v>5900</v>
      </c>
      <c r="L12" s="107">
        <f t="shared" si="6"/>
        <v>0.01550867736</v>
      </c>
      <c r="P12" s="107"/>
    </row>
    <row r="13">
      <c r="B13" s="104" t="s">
        <v>87</v>
      </c>
      <c r="C13" s="112"/>
      <c r="D13" s="109" t="s">
        <v>80</v>
      </c>
      <c r="E13" s="109" t="s">
        <v>80</v>
      </c>
      <c r="F13" s="104">
        <v>3000.0</v>
      </c>
      <c r="G13" s="110">
        <f>F13*(C1/1000)</f>
        <v>18000</v>
      </c>
      <c r="H13" s="106">
        <f t="shared" si="9"/>
        <v>4500</v>
      </c>
      <c r="I13" s="39">
        <f t="shared" si="2"/>
        <v>22500</v>
      </c>
      <c r="J13" s="37">
        <v>0.18</v>
      </c>
      <c r="K13" s="48">
        <f t="shared" si="8"/>
        <v>26550</v>
      </c>
      <c r="L13" s="107">
        <f t="shared" si="6"/>
        <v>0.06978904813</v>
      </c>
      <c r="P13" s="107"/>
    </row>
    <row r="14">
      <c r="A14" s="23" t="s">
        <v>88</v>
      </c>
      <c r="B14" s="23" t="s">
        <v>89</v>
      </c>
      <c r="C14" s="44"/>
      <c r="D14" s="23">
        <v>1.0</v>
      </c>
      <c r="E14" s="43" t="s">
        <v>71</v>
      </c>
      <c r="F14" s="23">
        <v>5000.0</v>
      </c>
      <c r="G14" s="113">
        <f>F14*D14</f>
        <v>5000</v>
      </c>
      <c r="H14" s="114">
        <f>G14*1</f>
        <v>5000</v>
      </c>
      <c r="I14" s="115">
        <f t="shared" si="2"/>
        <v>10000</v>
      </c>
      <c r="J14" s="37">
        <v>0.18</v>
      </c>
      <c r="K14" s="48">
        <f t="shared" si="8"/>
        <v>11800</v>
      </c>
      <c r="L14" s="107">
        <f t="shared" si="6"/>
        <v>0.03101735473</v>
      </c>
      <c r="P14" s="107"/>
    </row>
    <row r="15">
      <c r="B15" s="23" t="s">
        <v>90</v>
      </c>
      <c r="C15" s="44"/>
      <c r="F15" s="23">
        <v>5000.0</v>
      </c>
      <c r="G15" s="114">
        <f>F15</f>
        <v>5000</v>
      </c>
      <c r="H15" s="114">
        <f>G15*0.2</f>
        <v>1000</v>
      </c>
      <c r="I15" s="115">
        <f t="shared" si="2"/>
        <v>6000</v>
      </c>
      <c r="J15" s="37">
        <v>0.18</v>
      </c>
      <c r="K15" s="48">
        <f t="shared" si="8"/>
        <v>7080</v>
      </c>
      <c r="L15" s="107">
        <f t="shared" si="6"/>
        <v>0.01861041284</v>
      </c>
      <c r="P15" s="107"/>
    </row>
    <row r="16">
      <c r="C16" s="44"/>
      <c r="I16" s="116"/>
      <c r="J16" s="117"/>
      <c r="K16" s="116">
        <f>SUM(K3,K5:K15)</f>
        <v>380432.184</v>
      </c>
      <c r="L16" s="48" t="str">
        <f>(K16/C1)&amp;" / kW)"</f>
        <v>63.405364 / kW)</v>
      </c>
    </row>
    <row r="17">
      <c r="B17" s="118" t="s">
        <v>91</v>
      </c>
      <c r="D17" s="44">
        <f>C1/1000</f>
        <v>6</v>
      </c>
      <c r="F17" s="23">
        <v>30000.0</v>
      </c>
      <c r="G17" s="39">
        <f t="shared" ref="G17:H17" si="10">SUM(G3,G5:G15)</f>
        <v>288586</v>
      </c>
      <c r="H17" s="119">
        <f t="shared" si="10"/>
        <v>62817.2</v>
      </c>
      <c r="J17" s="120">
        <f t="shared" ref="J17:J18" si="11">H17/K17</f>
        <v>0.20770673</v>
      </c>
      <c r="K17" s="40">
        <f>K16-(if((F17*D17)&gt;78000,78000,(F17*D17)))</f>
        <v>302432.184</v>
      </c>
      <c r="L17" s="48" t="str">
        <f>(K17/C1)&amp;" / kW)"</f>
        <v>50.405364 / kW)</v>
      </c>
      <c r="N17" s="23" t="s">
        <v>92</v>
      </c>
    </row>
    <row r="18">
      <c r="B18" s="41"/>
      <c r="F18" s="48"/>
      <c r="G18" s="39">
        <f>SUM(G4:G15)</f>
        <v>227701</v>
      </c>
      <c r="H18" s="121">
        <f>SUM(H4:H14)</f>
        <v>43889.95</v>
      </c>
      <c r="J18" s="120">
        <f t="shared" si="11"/>
        <v>0.1474403723</v>
      </c>
      <c r="K18" s="122">
        <f>SUM(K4:K15)</f>
        <v>297679.3215</v>
      </c>
      <c r="L18" s="115" t="str">
        <f>K18/(C1)&amp;" / kW)"</f>
        <v>49.61322025 / kW)</v>
      </c>
      <c r="N18" s="23" t="s">
        <v>93</v>
      </c>
      <c r="O18" s="48" t="str">
        <f>"Rs. "&amp;Round(K18*0.15,0)</f>
        <v>Rs. 44652</v>
      </c>
    </row>
    <row r="19">
      <c r="B19" s="123" t="s">
        <v>94</v>
      </c>
      <c r="C19" s="103"/>
      <c r="D19" s="102" t="s">
        <v>95</v>
      </c>
      <c r="E19" s="102" t="s">
        <v>96</v>
      </c>
      <c r="F19" s="124" t="s">
        <v>97</v>
      </c>
      <c r="G19" s="103"/>
      <c r="K19" s="48">
        <f>MINUS(K17,K18)</f>
        <v>4752.8625</v>
      </c>
      <c r="L19" s="23" t="s">
        <v>68</v>
      </c>
    </row>
    <row r="20">
      <c r="B20" s="23" t="s">
        <v>98</v>
      </c>
      <c r="C20" s="23" t="s">
        <v>99</v>
      </c>
    </row>
    <row r="21">
      <c r="B21" s="23" t="s">
        <v>100</v>
      </c>
      <c r="C21" s="23" t="s">
        <v>101</v>
      </c>
      <c r="E21" s="23"/>
    </row>
    <row r="22">
      <c r="B22" s="23" t="s">
        <v>102</v>
      </c>
      <c r="C22" s="125" t="s">
        <v>103</v>
      </c>
      <c r="E22" s="23" t="s">
        <v>104</v>
      </c>
    </row>
    <row r="23">
      <c r="B23" s="23" t="s">
        <v>105</v>
      </c>
      <c r="C23" s="23" t="s">
        <v>106</v>
      </c>
      <c r="E23" s="23" t="s">
        <v>107</v>
      </c>
    </row>
    <row r="24">
      <c r="B24" s="23"/>
      <c r="C24" s="23" t="s">
        <v>108</v>
      </c>
      <c r="E24" s="23" t="s">
        <v>109</v>
      </c>
    </row>
    <row r="25">
      <c r="B25" s="23"/>
      <c r="C25" s="23" t="s">
        <v>110</v>
      </c>
      <c r="E25" s="23" t="s">
        <v>111</v>
      </c>
    </row>
    <row r="26">
      <c r="B26" s="23"/>
      <c r="C26" s="23" t="s">
        <v>112</v>
      </c>
      <c r="E26" s="23" t="s">
        <v>113</v>
      </c>
    </row>
    <row r="27">
      <c r="B27" s="126" t="s">
        <v>114</v>
      </c>
    </row>
    <row r="30">
      <c r="B30" s="127" t="s">
        <v>115</v>
      </c>
    </row>
    <row r="32">
      <c r="C32" s="128" t="s">
        <v>116</v>
      </c>
    </row>
    <row r="37">
      <c r="H37" s="115">
        <f>2899/1.18</f>
        <v>2456.779661</v>
      </c>
    </row>
    <row r="39">
      <c r="B39" s="23" t="s">
        <v>117</v>
      </c>
      <c r="F39" s="23" t="s">
        <v>118</v>
      </c>
    </row>
    <row r="40">
      <c r="B40" s="23" t="s">
        <v>119</v>
      </c>
    </row>
    <row r="41">
      <c r="B41" s="23" t="s">
        <v>120</v>
      </c>
    </row>
    <row r="44">
      <c r="B44" s="129" t="s">
        <v>58</v>
      </c>
      <c r="C44" s="129" t="s">
        <v>121</v>
      </c>
      <c r="D44" s="129" t="s">
        <v>64</v>
      </c>
      <c r="E44" s="129" t="s">
        <v>65</v>
      </c>
      <c r="F44" s="129" t="s">
        <v>66</v>
      </c>
    </row>
    <row r="45">
      <c r="B45" s="104" t="s">
        <v>122</v>
      </c>
      <c r="C45" s="109" t="s">
        <v>123</v>
      </c>
      <c r="D45" s="48">
        <v>142065.0</v>
      </c>
      <c r="E45" s="37">
        <v>0.05</v>
      </c>
      <c r="F45" s="115">
        <v>149168.25</v>
      </c>
    </row>
    <row r="46">
      <c r="B46" s="104" t="s">
        <v>124</v>
      </c>
      <c r="C46" s="109" t="s">
        <v>125</v>
      </c>
      <c r="D46" s="115">
        <v>32830.0</v>
      </c>
      <c r="E46" s="37">
        <v>0.05</v>
      </c>
      <c r="F46" s="115">
        <v>34471.5</v>
      </c>
    </row>
    <row r="47">
      <c r="B47" s="104" t="s">
        <v>77</v>
      </c>
      <c r="C47" s="109" t="s">
        <v>126</v>
      </c>
      <c r="D47" s="115">
        <v>5750.0</v>
      </c>
      <c r="E47" s="37">
        <v>0.18</v>
      </c>
      <c r="F47" s="115">
        <v>6785.0</v>
      </c>
    </row>
    <row r="48">
      <c r="B48" s="104" t="s">
        <v>78</v>
      </c>
      <c r="C48" s="109" t="s">
        <v>126</v>
      </c>
      <c r="D48" s="115">
        <v>12650.0</v>
      </c>
      <c r="E48" s="37">
        <v>0.18</v>
      </c>
      <c r="F48" s="115">
        <v>14927.0</v>
      </c>
    </row>
    <row r="49">
      <c r="B49" s="104" t="s">
        <v>127</v>
      </c>
      <c r="C49" s="109" t="s">
        <v>80</v>
      </c>
      <c r="D49" s="115">
        <v>29610.0</v>
      </c>
      <c r="E49" s="37">
        <v>0.18</v>
      </c>
      <c r="F49" s="115">
        <v>34939.799999999996</v>
      </c>
    </row>
    <row r="50">
      <c r="B50" s="104" t="s">
        <v>81</v>
      </c>
      <c r="C50" s="109" t="s">
        <v>128</v>
      </c>
      <c r="D50" s="115">
        <v>2760.0</v>
      </c>
      <c r="E50" s="37">
        <v>0.18</v>
      </c>
      <c r="F50" s="115">
        <v>3256.7999999999997</v>
      </c>
    </row>
    <row r="51">
      <c r="B51" s="104" t="s">
        <v>83</v>
      </c>
      <c r="C51" s="109" t="s">
        <v>126</v>
      </c>
      <c r="D51" s="115">
        <v>1610.0</v>
      </c>
      <c r="E51" s="37">
        <v>0.18</v>
      </c>
      <c r="F51" s="115">
        <v>1899.8</v>
      </c>
    </row>
    <row r="52">
      <c r="B52" s="104" t="s">
        <v>85</v>
      </c>
      <c r="C52" s="109" t="s">
        <v>129</v>
      </c>
      <c r="D52" s="115">
        <v>345.0</v>
      </c>
      <c r="E52" s="37">
        <v>0.18</v>
      </c>
      <c r="F52" s="115">
        <v>407.09999999999997</v>
      </c>
    </row>
    <row r="53">
      <c r="B53" s="104" t="s">
        <v>86</v>
      </c>
      <c r="C53" s="109" t="s">
        <v>80</v>
      </c>
      <c r="D53" s="115">
        <v>2817.5</v>
      </c>
      <c r="E53" s="37">
        <v>0.18</v>
      </c>
      <c r="F53" s="115">
        <v>3324.6499999999996</v>
      </c>
    </row>
    <row r="54">
      <c r="B54" s="104" t="s">
        <v>130</v>
      </c>
      <c r="C54" s="112"/>
      <c r="D54" s="115">
        <v>30000.0</v>
      </c>
      <c r="E54" s="37">
        <v>0.18</v>
      </c>
      <c r="F54" s="115">
        <v>35400.0</v>
      </c>
    </row>
    <row r="55">
      <c r="D55" s="130" t="s">
        <v>131</v>
      </c>
      <c r="F55" s="131">
        <f>SUM(F45:F54)</f>
        <v>284579.9</v>
      </c>
    </row>
    <row r="57">
      <c r="B57" s="41" t="s">
        <v>132</v>
      </c>
    </row>
    <row r="58">
      <c r="B58" s="23" t="s">
        <v>133</v>
      </c>
      <c r="C58" s="132"/>
    </row>
    <row r="59">
      <c r="B59" s="23" t="s">
        <v>105</v>
      </c>
    </row>
    <row r="60">
      <c r="B60" s="23" t="s">
        <v>134</v>
      </c>
    </row>
    <row r="62">
      <c r="B62" s="41" t="s">
        <v>135</v>
      </c>
      <c r="C62" s="133"/>
      <c r="D62" s="133"/>
      <c r="E62" s="133"/>
      <c r="F62" s="133"/>
    </row>
    <row r="63">
      <c r="B63" s="23" t="s">
        <v>136</v>
      </c>
      <c r="C63" s="133"/>
      <c r="D63" s="133"/>
      <c r="E63" s="133"/>
      <c r="F63" s="133"/>
    </row>
    <row r="64">
      <c r="B64" s="23" t="s">
        <v>137</v>
      </c>
      <c r="C64" s="133"/>
      <c r="D64" s="133"/>
      <c r="E64" s="133"/>
      <c r="F64" s="133"/>
    </row>
    <row r="65">
      <c r="B65" s="23" t="s">
        <v>138</v>
      </c>
      <c r="C65" s="133"/>
      <c r="D65" s="133"/>
      <c r="E65" s="133"/>
      <c r="F65" s="133"/>
    </row>
    <row r="66">
      <c r="B66" s="133"/>
      <c r="C66" s="133"/>
      <c r="D66" s="133"/>
      <c r="E66" s="133"/>
      <c r="F66" s="133"/>
    </row>
    <row r="67">
      <c r="B67" s="133"/>
      <c r="C67" s="133"/>
      <c r="D67" s="133"/>
      <c r="E67" s="133"/>
      <c r="F67" s="133"/>
    </row>
    <row r="68">
      <c r="B68" s="133"/>
      <c r="C68" s="133"/>
      <c r="D68" s="133"/>
      <c r="E68" s="133"/>
      <c r="F68" s="133"/>
    </row>
    <row r="69">
      <c r="B69" s="127" t="s">
        <v>115</v>
      </c>
      <c r="N69" s="127" t="s">
        <v>115</v>
      </c>
      <c r="T69" s="127" t="s">
        <v>115</v>
      </c>
    </row>
    <row r="71">
      <c r="C71" s="128" t="s">
        <v>139</v>
      </c>
      <c r="O71" s="128" t="s">
        <v>140</v>
      </c>
      <c r="U71" s="128" t="s">
        <v>141</v>
      </c>
    </row>
    <row r="73">
      <c r="Z73" s="23" t="s">
        <v>17</v>
      </c>
    </row>
    <row r="78">
      <c r="B78" s="23" t="s">
        <v>117</v>
      </c>
      <c r="F78" s="23" t="s">
        <v>118</v>
      </c>
      <c r="N78" s="23" t="s">
        <v>117</v>
      </c>
      <c r="R78" s="23" t="s">
        <v>142</v>
      </c>
      <c r="T78" s="23" t="s">
        <v>117</v>
      </c>
      <c r="X78" s="23" t="s">
        <v>142</v>
      </c>
    </row>
    <row r="79">
      <c r="B79" s="23" t="s">
        <v>119</v>
      </c>
      <c r="N79" s="23" t="s">
        <v>119</v>
      </c>
      <c r="T79" s="23" t="s">
        <v>119</v>
      </c>
    </row>
    <row r="80">
      <c r="B80" s="23" t="s">
        <v>120</v>
      </c>
      <c r="N80" s="23" t="s">
        <v>120</v>
      </c>
      <c r="T80" s="23" t="s">
        <v>120</v>
      </c>
    </row>
    <row r="82">
      <c r="T82" s="23" t="s">
        <v>17</v>
      </c>
    </row>
    <row r="83">
      <c r="B83" s="129" t="s">
        <v>58</v>
      </c>
      <c r="C83" s="129" t="s">
        <v>121</v>
      </c>
      <c r="D83" s="129" t="s">
        <v>64</v>
      </c>
      <c r="E83" s="129" t="s">
        <v>65</v>
      </c>
      <c r="F83" s="129" t="s">
        <v>66</v>
      </c>
      <c r="N83" s="129" t="s">
        <v>58</v>
      </c>
      <c r="O83" s="129" t="s">
        <v>121</v>
      </c>
      <c r="P83" s="129" t="s">
        <v>64</v>
      </c>
      <c r="Q83" s="129" t="s">
        <v>65</v>
      </c>
      <c r="R83" s="129" t="s">
        <v>66</v>
      </c>
      <c r="T83" s="129" t="s">
        <v>58</v>
      </c>
      <c r="U83" s="129" t="s">
        <v>121</v>
      </c>
      <c r="V83" s="129" t="s">
        <v>64</v>
      </c>
      <c r="W83" s="129" t="s">
        <v>65</v>
      </c>
      <c r="X83" s="129" t="s">
        <v>66</v>
      </c>
    </row>
    <row r="84">
      <c r="B84" s="104" t="s">
        <v>143</v>
      </c>
      <c r="C84" s="109" t="s">
        <v>123</v>
      </c>
      <c r="D84" s="48">
        <v>227304.0</v>
      </c>
      <c r="E84" s="37">
        <v>0.05</v>
      </c>
      <c r="F84" s="115">
        <v>238669.2</v>
      </c>
      <c r="N84" s="104" t="s">
        <v>144</v>
      </c>
      <c r="O84" s="109" t="s">
        <v>123</v>
      </c>
      <c r="P84" s="48">
        <v>45460.8</v>
      </c>
      <c r="Q84" s="37">
        <v>0.05</v>
      </c>
      <c r="R84" s="48">
        <v>47733.840000000004</v>
      </c>
      <c r="T84" s="104" t="s">
        <v>145</v>
      </c>
      <c r="U84" s="109" t="s">
        <v>123</v>
      </c>
      <c r="V84" s="48">
        <v>56826.0</v>
      </c>
      <c r="W84" s="37">
        <v>0.05</v>
      </c>
      <c r="X84" s="48">
        <v>59667.3</v>
      </c>
    </row>
    <row r="85">
      <c r="B85" s="104" t="s">
        <v>146</v>
      </c>
      <c r="C85" s="109" t="s">
        <v>147</v>
      </c>
      <c r="D85" s="115">
        <v>63393.4</v>
      </c>
      <c r="E85" s="37">
        <v>0.05</v>
      </c>
      <c r="F85" s="39">
        <v>66563.07</v>
      </c>
      <c r="N85" s="104" t="s">
        <v>75</v>
      </c>
      <c r="O85" s="109" t="s">
        <v>148</v>
      </c>
      <c r="P85" s="48">
        <v>12678.68</v>
      </c>
      <c r="Q85" s="37">
        <v>0.05</v>
      </c>
      <c r="R85" s="48">
        <v>13312.614000000001</v>
      </c>
      <c r="T85" s="104" t="s">
        <v>75</v>
      </c>
      <c r="U85" s="109" t="s">
        <v>148</v>
      </c>
      <c r="V85" s="115">
        <v>12678.68</v>
      </c>
      <c r="W85" s="37">
        <v>0.05</v>
      </c>
      <c r="X85" s="48">
        <v>13312.614000000001</v>
      </c>
    </row>
    <row r="86">
      <c r="B86" s="104" t="s">
        <v>77</v>
      </c>
      <c r="C86" s="109" t="s">
        <v>126</v>
      </c>
      <c r="D86" s="115">
        <v>10075.0</v>
      </c>
      <c r="E86" s="37">
        <v>0.18</v>
      </c>
      <c r="F86" s="115">
        <v>11888.5</v>
      </c>
      <c r="N86" s="104" t="s">
        <v>77</v>
      </c>
      <c r="O86" s="109" t="s">
        <v>126</v>
      </c>
      <c r="P86" s="115">
        <v>2015.0</v>
      </c>
      <c r="Q86" s="37">
        <v>0.18</v>
      </c>
      <c r="R86" s="48">
        <v>2377.7</v>
      </c>
      <c r="T86" s="104" t="s">
        <v>77</v>
      </c>
      <c r="U86" s="109" t="s">
        <v>126</v>
      </c>
      <c r="V86" s="115">
        <v>2015.0</v>
      </c>
      <c r="W86" s="37">
        <v>0.18</v>
      </c>
      <c r="X86" s="48">
        <v>2377.7</v>
      </c>
    </row>
    <row r="87">
      <c r="B87" s="104" t="s">
        <v>78</v>
      </c>
      <c r="C87" s="109" t="s">
        <v>126</v>
      </c>
      <c r="D87" s="115">
        <v>5525.0</v>
      </c>
      <c r="E87" s="37">
        <v>0.18</v>
      </c>
      <c r="F87" s="115">
        <v>6519.5</v>
      </c>
      <c r="N87" s="104" t="s">
        <v>78</v>
      </c>
      <c r="O87" s="109" t="s">
        <v>126</v>
      </c>
      <c r="P87" s="115">
        <v>1105.0</v>
      </c>
      <c r="Q87" s="37">
        <v>0.18</v>
      </c>
      <c r="R87" s="48">
        <v>1303.8999999999999</v>
      </c>
      <c r="T87" s="104" t="s">
        <v>78</v>
      </c>
      <c r="U87" s="109" t="s">
        <v>126</v>
      </c>
      <c r="V87" s="115">
        <v>1105.0</v>
      </c>
      <c r="W87" s="37">
        <v>0.18</v>
      </c>
      <c r="X87" s="48">
        <v>1303.8999999999999</v>
      </c>
    </row>
    <row r="88">
      <c r="B88" s="104" t="s">
        <v>127</v>
      </c>
      <c r="C88" s="109" t="s">
        <v>80</v>
      </c>
      <c r="D88" s="115">
        <v>105000.0</v>
      </c>
      <c r="E88" s="37">
        <v>0.18</v>
      </c>
      <c r="F88" s="115">
        <v>123900.0</v>
      </c>
      <c r="N88" s="104" t="s">
        <v>127</v>
      </c>
      <c r="O88" s="109" t="s">
        <v>80</v>
      </c>
      <c r="P88" s="48">
        <f>R88/1.18</f>
        <v>18471.61017</v>
      </c>
      <c r="Q88" s="37">
        <v>0.18</v>
      </c>
      <c r="R88" s="48">
        <f>(24780-2983.5)</f>
        <v>21796.5</v>
      </c>
      <c r="T88" s="104" t="s">
        <v>127</v>
      </c>
      <c r="U88" s="109" t="s">
        <v>80</v>
      </c>
      <c r="V88" s="115">
        <v>21000.0</v>
      </c>
      <c r="W88" s="37">
        <v>0.18</v>
      </c>
      <c r="X88" s="48">
        <v>24780.0</v>
      </c>
    </row>
    <row r="89">
      <c r="B89" s="104" t="s">
        <v>81</v>
      </c>
      <c r="C89" s="109" t="s">
        <v>149</v>
      </c>
      <c r="D89" s="115">
        <v>6720.0</v>
      </c>
      <c r="E89" s="37">
        <v>0.18</v>
      </c>
      <c r="F89" s="115">
        <v>7929.599999999999</v>
      </c>
      <c r="N89" s="104" t="s">
        <v>81</v>
      </c>
      <c r="O89" s="109" t="s">
        <v>150</v>
      </c>
      <c r="P89" s="115">
        <v>1344.0</v>
      </c>
      <c r="Q89" s="37">
        <v>0.18</v>
      </c>
      <c r="R89" s="48">
        <v>1585.9199999999998</v>
      </c>
      <c r="T89" s="104" t="s">
        <v>81</v>
      </c>
      <c r="U89" s="109" t="s">
        <v>150</v>
      </c>
      <c r="V89" s="115">
        <v>1344.0</v>
      </c>
      <c r="W89" s="37">
        <v>0.18</v>
      </c>
      <c r="X89" s="48">
        <v>1585.9199999999998</v>
      </c>
    </row>
    <row r="90">
      <c r="B90" s="104" t="s">
        <v>83</v>
      </c>
      <c r="C90" s="109" t="s">
        <v>128</v>
      </c>
      <c r="D90" s="115">
        <v>5880.0</v>
      </c>
      <c r="E90" s="37">
        <v>0.18</v>
      </c>
      <c r="F90" s="115">
        <v>6938.4</v>
      </c>
      <c r="N90" s="104" t="s">
        <v>83</v>
      </c>
      <c r="O90" s="109" t="s">
        <v>126</v>
      </c>
      <c r="P90" s="115">
        <v>1176.0</v>
      </c>
      <c r="Q90" s="37">
        <v>0.18</v>
      </c>
      <c r="R90" s="48">
        <v>1387.6799999999998</v>
      </c>
      <c r="T90" s="104" t="s">
        <v>83</v>
      </c>
      <c r="U90" s="109" t="s">
        <v>126</v>
      </c>
      <c r="V90" s="115">
        <v>1176.0</v>
      </c>
      <c r="W90" s="37">
        <v>0.18</v>
      </c>
      <c r="X90" s="48">
        <v>1387.6799999999998</v>
      </c>
    </row>
    <row r="91">
      <c r="B91" s="104" t="s">
        <v>85</v>
      </c>
      <c r="C91" s="109" t="s">
        <v>151</v>
      </c>
      <c r="D91" s="115">
        <v>900.0</v>
      </c>
      <c r="E91" s="37">
        <v>0.18</v>
      </c>
      <c r="F91" s="115">
        <v>1062.0</v>
      </c>
      <c r="N91" s="104" t="s">
        <v>85</v>
      </c>
      <c r="O91" s="109" t="s">
        <v>128</v>
      </c>
      <c r="P91" s="115">
        <v>180.0</v>
      </c>
      <c r="Q91" s="37">
        <v>0.18</v>
      </c>
      <c r="R91" s="48">
        <v>212.39999999999998</v>
      </c>
      <c r="T91" s="104" t="s">
        <v>85</v>
      </c>
      <c r="U91" s="109" t="s">
        <v>152</v>
      </c>
      <c r="V91" s="115">
        <v>180.0</v>
      </c>
      <c r="W91" s="37">
        <v>0.18</v>
      </c>
      <c r="X91" s="48">
        <v>212.39999999999998</v>
      </c>
    </row>
    <row r="92">
      <c r="B92" s="104" t="s">
        <v>86</v>
      </c>
      <c r="C92" s="109" t="s">
        <v>80</v>
      </c>
      <c r="D92" s="115">
        <v>8400.0</v>
      </c>
      <c r="E92" s="37">
        <v>0.18</v>
      </c>
      <c r="F92" s="115">
        <v>9912.0</v>
      </c>
      <c r="N92" s="104" t="s">
        <v>86</v>
      </c>
      <c r="O92" s="109" t="s">
        <v>80</v>
      </c>
      <c r="P92" s="115">
        <v>1680.0</v>
      </c>
      <c r="Q92" s="37">
        <v>0.18</v>
      </c>
      <c r="R92" s="48">
        <v>1982.3999999999999</v>
      </c>
      <c r="T92" s="104" t="s">
        <v>86</v>
      </c>
      <c r="U92" s="109" t="s">
        <v>80</v>
      </c>
      <c r="V92" s="115">
        <v>1680.0</v>
      </c>
      <c r="W92" s="37">
        <v>0.18</v>
      </c>
      <c r="X92" s="48">
        <v>1982.3999999999999</v>
      </c>
    </row>
    <row r="93">
      <c r="B93" s="104" t="s">
        <v>130</v>
      </c>
      <c r="C93" s="109" t="s">
        <v>80</v>
      </c>
      <c r="D93" s="115">
        <v>65000.0</v>
      </c>
      <c r="E93" s="37">
        <v>0.18</v>
      </c>
      <c r="F93" s="115">
        <v>76700.0</v>
      </c>
      <c r="N93" s="104" t="s">
        <v>130</v>
      </c>
      <c r="O93" s="109" t="s">
        <v>80</v>
      </c>
      <c r="P93" s="115">
        <v>13000.0</v>
      </c>
      <c r="Q93" s="37">
        <v>0.18</v>
      </c>
      <c r="R93" s="48">
        <v>15340.0</v>
      </c>
      <c r="T93" s="104" t="s">
        <v>130</v>
      </c>
      <c r="U93" s="109" t="s">
        <v>80</v>
      </c>
      <c r="V93" s="115">
        <v>13000.0</v>
      </c>
      <c r="W93" s="37">
        <v>0.18</v>
      </c>
      <c r="X93" s="48">
        <v>15340.0</v>
      </c>
    </row>
    <row r="94">
      <c r="B94" s="134" t="s">
        <v>131</v>
      </c>
      <c r="F94" s="131">
        <f>SUM(F84:F93)</f>
        <v>550082.27</v>
      </c>
      <c r="N94" s="134" t="s">
        <v>131</v>
      </c>
      <c r="R94" s="131">
        <f>SUM(R84:R93)</f>
        <v>107032.954</v>
      </c>
      <c r="T94" s="134" t="s">
        <v>131</v>
      </c>
      <c r="X94" s="131">
        <f>SUM(X84:X93)</f>
        <v>121949.914</v>
      </c>
    </row>
    <row r="96">
      <c r="B96" s="41" t="s">
        <v>132</v>
      </c>
      <c r="N96" s="41" t="s">
        <v>132</v>
      </c>
      <c r="T96" s="41" t="s">
        <v>132</v>
      </c>
    </row>
    <row r="97">
      <c r="B97" s="23" t="s">
        <v>133</v>
      </c>
      <c r="C97" s="132"/>
      <c r="N97" s="23" t="s">
        <v>133</v>
      </c>
      <c r="O97" s="132"/>
      <c r="T97" s="23" t="s">
        <v>133</v>
      </c>
      <c r="U97" s="132"/>
    </row>
    <row r="98">
      <c r="B98" s="23" t="s">
        <v>105</v>
      </c>
      <c r="N98" s="23" t="s">
        <v>105</v>
      </c>
      <c r="O98" s="132"/>
      <c r="T98" s="23" t="s">
        <v>105</v>
      </c>
      <c r="U98" s="132"/>
    </row>
    <row r="99">
      <c r="B99" s="23" t="s">
        <v>134</v>
      </c>
      <c r="N99" s="23" t="s">
        <v>134</v>
      </c>
      <c r="O99" s="132"/>
      <c r="T99" s="23" t="s">
        <v>134</v>
      </c>
      <c r="U99" s="132"/>
    </row>
    <row r="101">
      <c r="B101" s="41" t="s">
        <v>135</v>
      </c>
      <c r="N101" s="41" t="s">
        <v>135</v>
      </c>
      <c r="T101" s="41" t="s">
        <v>135</v>
      </c>
    </row>
    <row r="102">
      <c r="B102" s="23" t="s">
        <v>136</v>
      </c>
      <c r="N102" s="23" t="s">
        <v>136</v>
      </c>
      <c r="T102" s="23" t="s">
        <v>136</v>
      </c>
    </row>
    <row r="103">
      <c r="B103" s="23" t="s">
        <v>137</v>
      </c>
      <c r="N103" s="23" t="s">
        <v>137</v>
      </c>
      <c r="T103" s="23" t="s">
        <v>137</v>
      </c>
    </row>
    <row r="104">
      <c r="B104" s="23" t="s">
        <v>138</v>
      </c>
      <c r="N104" s="23" t="s">
        <v>138</v>
      </c>
      <c r="T104" s="23" t="s">
        <v>138</v>
      </c>
    </row>
    <row r="107">
      <c r="B107" s="127" t="s">
        <v>115</v>
      </c>
    </row>
    <row r="109">
      <c r="C109" s="128" t="s">
        <v>153</v>
      </c>
    </row>
    <row r="116">
      <c r="B116" s="23" t="s">
        <v>117</v>
      </c>
      <c r="F116" s="23" t="s">
        <v>154</v>
      </c>
    </row>
    <row r="118">
      <c r="B118" s="23" t="s">
        <v>120</v>
      </c>
    </row>
    <row r="121">
      <c r="B121" s="129" t="s">
        <v>58</v>
      </c>
      <c r="C121" s="129" t="s">
        <v>121</v>
      </c>
      <c r="D121" s="129" t="s">
        <v>64</v>
      </c>
      <c r="E121" s="129" t="s">
        <v>65</v>
      </c>
      <c r="F121" s="129" t="s">
        <v>66</v>
      </c>
    </row>
    <row r="122">
      <c r="B122" s="114" t="s">
        <v>155</v>
      </c>
      <c r="C122" s="114">
        <v>700.0</v>
      </c>
      <c r="D122" s="106">
        <v>196000.0</v>
      </c>
      <c r="E122" s="135">
        <v>0.05</v>
      </c>
      <c r="F122" s="136">
        <v>205800.0</v>
      </c>
      <c r="G122" s="137" t="s">
        <v>156</v>
      </c>
    </row>
    <row r="123">
      <c r="B123" s="114" t="s">
        <v>157</v>
      </c>
      <c r="C123" s="138">
        <v>625.0</v>
      </c>
      <c r="D123" s="110">
        <f>18*625*18</f>
        <v>202500</v>
      </c>
      <c r="E123" s="135">
        <v>0.05</v>
      </c>
      <c r="F123" s="136">
        <v>212625.0</v>
      </c>
      <c r="G123" s="137" t="s">
        <v>158</v>
      </c>
    </row>
    <row r="124">
      <c r="B124" s="114" t="s">
        <v>159</v>
      </c>
      <c r="C124" s="138" t="s">
        <v>160</v>
      </c>
      <c r="D124" s="110">
        <v>45281.0</v>
      </c>
      <c r="E124" s="135">
        <v>0.05</v>
      </c>
      <c r="F124" s="136">
        <v>47545.05</v>
      </c>
    </row>
    <row r="125">
      <c r="B125" s="114" t="s">
        <v>77</v>
      </c>
      <c r="C125" s="138" t="s">
        <v>126</v>
      </c>
      <c r="D125" s="110">
        <v>7750.0</v>
      </c>
      <c r="E125" s="135">
        <v>0.18</v>
      </c>
      <c r="F125" s="136">
        <v>9145.0</v>
      </c>
    </row>
    <row r="126">
      <c r="B126" s="114" t="s">
        <v>78</v>
      </c>
      <c r="C126" s="138" t="s">
        <v>126</v>
      </c>
      <c r="D126" s="110">
        <v>4250.0</v>
      </c>
      <c r="E126" s="135">
        <v>0.18</v>
      </c>
      <c r="F126" s="136">
        <v>5015.0</v>
      </c>
    </row>
    <row r="127">
      <c r="B127" s="139" t="s">
        <v>81</v>
      </c>
      <c r="C127" s="140" t="s">
        <v>128</v>
      </c>
      <c r="D127" s="141">
        <v>2457.0</v>
      </c>
      <c r="E127" s="142">
        <v>0.18</v>
      </c>
      <c r="F127" s="143">
        <v>2899.2599999999998</v>
      </c>
    </row>
    <row r="128">
      <c r="B128" s="139" t="s">
        <v>83</v>
      </c>
      <c r="C128" s="140" t="s">
        <v>126</v>
      </c>
      <c r="E128" s="142">
        <v>0.18</v>
      </c>
    </row>
    <row r="129">
      <c r="B129" s="139" t="s">
        <v>85</v>
      </c>
      <c r="C129" s="140" t="s">
        <v>161</v>
      </c>
      <c r="D129" s="144">
        <v>630.0</v>
      </c>
      <c r="E129" s="142"/>
      <c r="F129" s="40">
        <v>743.4</v>
      </c>
    </row>
    <row r="130">
      <c r="B130" s="23" t="s">
        <v>79</v>
      </c>
      <c r="C130" s="43" t="s">
        <v>80</v>
      </c>
      <c r="D130" s="145"/>
      <c r="E130" s="37">
        <v>0.18</v>
      </c>
      <c r="F130" s="146" t="s">
        <v>162</v>
      </c>
    </row>
    <row r="131">
      <c r="B131" s="104" t="s">
        <v>86</v>
      </c>
      <c r="C131" s="109" t="s">
        <v>80</v>
      </c>
      <c r="D131" s="145"/>
      <c r="E131" s="37"/>
    </row>
    <row r="132">
      <c r="B132" s="104" t="s">
        <v>87</v>
      </c>
      <c r="C132" s="112"/>
      <c r="D132" s="145"/>
      <c r="E132" s="37"/>
    </row>
    <row r="133">
      <c r="B133" s="134" t="s">
        <v>131</v>
      </c>
      <c r="F133" s="131">
        <f>SUM(F122,F124:F132)</f>
        <v>271147.71</v>
      </c>
    </row>
    <row r="135">
      <c r="B135" s="41" t="s">
        <v>132</v>
      </c>
    </row>
    <row r="136">
      <c r="B136" s="147" t="s">
        <v>98</v>
      </c>
      <c r="C136" s="23" t="s">
        <v>99</v>
      </c>
    </row>
    <row r="137">
      <c r="B137" s="147" t="s">
        <v>100</v>
      </c>
      <c r="C137" s="23" t="s">
        <v>101</v>
      </c>
    </row>
    <row r="138">
      <c r="B138" s="147" t="s">
        <v>102</v>
      </c>
      <c r="C138" s="125" t="s">
        <v>103</v>
      </c>
    </row>
    <row r="139">
      <c r="B139" s="147" t="s">
        <v>105</v>
      </c>
      <c r="C139" s="23" t="s">
        <v>106</v>
      </c>
      <c r="D139" s="23" t="s">
        <v>107</v>
      </c>
    </row>
    <row r="140">
      <c r="C140" s="23" t="s">
        <v>108</v>
      </c>
      <c r="D140" s="23" t="s">
        <v>109</v>
      </c>
    </row>
    <row r="141">
      <c r="C141" s="23" t="s">
        <v>110</v>
      </c>
      <c r="D141" s="23" t="s">
        <v>111</v>
      </c>
    </row>
    <row r="142">
      <c r="C142" s="23" t="s">
        <v>112</v>
      </c>
      <c r="D142" s="23" t="s">
        <v>113</v>
      </c>
    </row>
    <row r="144">
      <c r="B144" s="41" t="s">
        <v>135</v>
      </c>
    </row>
    <row r="145">
      <c r="B145" s="23" t="s">
        <v>136</v>
      </c>
    </row>
    <row r="146">
      <c r="B146" s="23" t="s">
        <v>137</v>
      </c>
    </row>
    <row r="147">
      <c r="B147" s="23" t="s">
        <v>138</v>
      </c>
    </row>
    <row r="149">
      <c r="B149" s="41"/>
    </row>
    <row r="152">
      <c r="C152" s="125"/>
    </row>
  </sheetData>
  <mergeCells count="28">
    <mergeCell ref="N3:N4"/>
    <mergeCell ref="B27:E27"/>
    <mergeCell ref="B30:F31"/>
    <mergeCell ref="B32:B38"/>
    <mergeCell ref="C32:F38"/>
    <mergeCell ref="D55:E55"/>
    <mergeCell ref="C58:C60"/>
    <mergeCell ref="T71:T77"/>
    <mergeCell ref="U71:X77"/>
    <mergeCell ref="B69:F70"/>
    <mergeCell ref="N69:R70"/>
    <mergeCell ref="T69:X70"/>
    <mergeCell ref="B71:B77"/>
    <mergeCell ref="C71:F77"/>
    <mergeCell ref="N71:N77"/>
    <mergeCell ref="O71:R77"/>
    <mergeCell ref="D127:D128"/>
    <mergeCell ref="F127:F128"/>
    <mergeCell ref="B133:E133"/>
    <mergeCell ref="D153:D154"/>
    <mergeCell ref="D155:D156"/>
    <mergeCell ref="B94:E94"/>
    <mergeCell ref="N94:Q94"/>
    <mergeCell ref="T94:W94"/>
    <mergeCell ref="C97:C99"/>
    <mergeCell ref="B107:F108"/>
    <mergeCell ref="B109:B115"/>
    <mergeCell ref="C109:F115"/>
  </mergeCells>
  <printOptions horizontalCentered="1"/>
  <pageMargins bottom="0.75" footer="0.0" header="0.0" left="0.7" right="0.7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20.25"/>
    <col customWidth="1" min="4" max="4" width="17.25"/>
    <col customWidth="1" min="5" max="5" width="16.75"/>
    <col customWidth="1" min="6" max="6" width="15.38"/>
    <col customWidth="1" min="11" max="11" width="14.75"/>
    <col customWidth="1" min="14" max="14" width="28.38"/>
    <col customWidth="1" min="15" max="15" width="18.38"/>
    <col customWidth="1" min="16" max="16" width="21.13"/>
    <col customWidth="1" min="17" max="17" width="13.75"/>
    <col customWidth="1" min="18" max="19" width="20.63"/>
  </cols>
  <sheetData>
    <row r="2">
      <c r="B2" s="148"/>
      <c r="C2" s="148"/>
      <c r="F2" s="149" t="s">
        <v>163</v>
      </c>
      <c r="G2" s="150" t="s">
        <v>164</v>
      </c>
      <c r="K2" s="151" t="s">
        <v>165</v>
      </c>
      <c r="L2" s="151">
        <v>8.0</v>
      </c>
    </row>
    <row r="3" ht="22.5" customHeight="1">
      <c r="A3" s="126" t="s">
        <v>166</v>
      </c>
      <c r="B3" s="152" t="s">
        <v>167</v>
      </c>
      <c r="C3" s="78" t="s">
        <v>168</v>
      </c>
      <c r="D3" s="153" t="s">
        <v>169</v>
      </c>
      <c r="E3" s="154" t="s">
        <v>170</v>
      </c>
      <c r="F3" s="154" t="s">
        <v>171</v>
      </c>
      <c r="G3" s="155" t="s">
        <v>172</v>
      </c>
      <c r="H3" s="156" t="s">
        <v>173</v>
      </c>
      <c r="I3" s="156" t="s">
        <v>174</v>
      </c>
      <c r="J3" s="156" t="s">
        <v>171</v>
      </c>
      <c r="K3" s="157" t="s">
        <v>175</v>
      </c>
      <c r="L3" s="157" t="s">
        <v>176</v>
      </c>
      <c r="M3" s="23"/>
      <c r="N3" s="153" t="s">
        <v>177</v>
      </c>
      <c r="O3" s="78" t="s">
        <v>178</v>
      </c>
      <c r="P3" s="158" t="s">
        <v>179</v>
      </c>
      <c r="Q3" s="78" t="s">
        <v>180</v>
      </c>
      <c r="R3" s="152" t="s">
        <v>181</v>
      </c>
    </row>
    <row r="4" ht="22.5" customHeight="1">
      <c r="B4" s="159" t="s">
        <v>182</v>
      </c>
      <c r="C4" s="160">
        <f>2053.88+1323.65</f>
        <v>3377.53</v>
      </c>
      <c r="D4" s="161">
        <f>19042.31+10608.16</f>
        <v>29650.47</v>
      </c>
      <c r="E4" s="154"/>
      <c r="F4" s="154"/>
      <c r="G4" s="162"/>
      <c r="H4" s="115">
        <f>G6*60</f>
        <v>3240</v>
      </c>
      <c r="I4" s="48">
        <f>(H4-C5)*6.7</f>
        <v>21708</v>
      </c>
      <c r="J4" s="45">
        <f>('Return of investment '!$L$56/(15*6))/H4</f>
        <v>2.023996455</v>
      </c>
      <c r="K4" s="48">
        <f>C5*$L$2</f>
        <v>0</v>
      </c>
      <c r="L4" s="48">
        <f>K4-(J4*H4)</f>
        <v>-6557.748514</v>
      </c>
      <c r="N4" s="163" t="s">
        <v>183</v>
      </c>
      <c r="O4" s="164">
        <v>8.5</v>
      </c>
      <c r="P4" s="165">
        <v>8.0</v>
      </c>
      <c r="Q4" s="166">
        <f>F33+I33</f>
        <v>17.35714286</v>
      </c>
      <c r="R4" s="163" t="s">
        <v>184</v>
      </c>
    </row>
    <row r="5" ht="22.5" customHeight="1">
      <c r="B5" s="167" t="s">
        <v>185</v>
      </c>
      <c r="C5" s="160"/>
      <c r="E5" s="168">
        <v>749.11</v>
      </c>
      <c r="F5" s="169"/>
      <c r="I5" s="45"/>
      <c r="J5" s="45"/>
      <c r="K5" s="48"/>
      <c r="N5" s="163" t="s">
        <v>186</v>
      </c>
      <c r="O5" s="164">
        <f>O4/C33</f>
        <v>8.5</v>
      </c>
      <c r="P5" s="165">
        <f>P4/C33</f>
        <v>8</v>
      </c>
      <c r="Q5" s="166">
        <f>Q4/C33</f>
        <v>17.35714286</v>
      </c>
      <c r="R5" s="163" t="s">
        <v>184</v>
      </c>
      <c r="T5" s="39"/>
    </row>
    <row r="6" ht="22.5" customHeight="1">
      <c r="B6" s="167" t="s">
        <v>187</v>
      </c>
      <c r="C6" s="160">
        <f>1815.58+1253.71</f>
        <v>3069.29</v>
      </c>
      <c r="D6" s="161">
        <f>16289.95+9800.35</f>
        <v>26090.3</v>
      </c>
      <c r="F6" s="169">
        <f>D6/C6</f>
        <v>8.500434954</v>
      </c>
      <c r="G6" s="170">
        <f>$O$27*4.5</f>
        <v>54</v>
      </c>
      <c r="H6" s="115">
        <f>G8*60</f>
        <v>2880</v>
      </c>
      <c r="I6" s="48">
        <f>(H6-C7)*6.7</f>
        <v>19296</v>
      </c>
      <c r="J6" s="45">
        <f>('Return of investment '!$L$56/(15*6))/H6</f>
        <v>2.276996012</v>
      </c>
      <c r="K6" s="48">
        <f>C7*$L$2</f>
        <v>0</v>
      </c>
      <c r="L6" s="48">
        <f>K6-(J6*H6)</f>
        <v>-6557.748514</v>
      </c>
      <c r="N6" s="171" t="s">
        <v>188</v>
      </c>
      <c r="O6" s="172">
        <f>O5/(C30*C33)</f>
        <v>1.888888889</v>
      </c>
      <c r="P6" s="173">
        <f>P5/(C30*C33)</f>
        <v>1.777777778</v>
      </c>
      <c r="Q6" s="174">
        <f>Q5/(C30*C33)</f>
        <v>3.857142857</v>
      </c>
      <c r="R6" s="171" t="s">
        <v>189</v>
      </c>
      <c r="T6" s="39"/>
    </row>
    <row r="7" ht="22.5" customHeight="1">
      <c r="B7" s="159" t="s">
        <v>190</v>
      </c>
      <c r="C7" s="160"/>
      <c r="E7" s="161">
        <v>416.2</v>
      </c>
      <c r="F7" s="169"/>
      <c r="G7" s="170"/>
      <c r="I7" s="45"/>
      <c r="J7" s="45"/>
      <c r="K7" s="48"/>
      <c r="N7" s="175" t="s">
        <v>191</v>
      </c>
      <c r="O7" s="176">
        <v>1.0</v>
      </c>
      <c r="P7" s="177">
        <v>1.0</v>
      </c>
      <c r="Q7" s="178">
        <v>1.0</v>
      </c>
      <c r="R7" s="179"/>
    </row>
    <row r="8" ht="22.5" customHeight="1">
      <c r="B8" s="159" t="s">
        <v>192</v>
      </c>
      <c r="C8" s="160">
        <f>1458.42+882.29</f>
        <v>2340.71</v>
      </c>
      <c r="D8" s="161">
        <f>12164.75+5634.05</f>
        <v>17798.8</v>
      </c>
      <c r="F8" s="169">
        <f>D8/C8</f>
        <v>7.604017584</v>
      </c>
      <c r="G8" s="170">
        <f>$O$27*4</f>
        <v>48</v>
      </c>
      <c r="H8" s="115">
        <f>G10*60</f>
        <v>2880</v>
      </c>
      <c r="I8" s="48">
        <f>(H8-C9)*6.7</f>
        <v>19296</v>
      </c>
      <c r="J8" s="45">
        <f>('Return of investment '!$L$56/(15*6))/H8</f>
        <v>2.276996012</v>
      </c>
      <c r="K8" s="48">
        <f>C9*$L$2</f>
        <v>0</v>
      </c>
      <c r="L8" s="48">
        <f>K8-(J8*H8)</f>
        <v>-6557.748514</v>
      </c>
      <c r="N8" s="180" t="s">
        <v>193</v>
      </c>
      <c r="O8" s="181">
        <f t="shared" ref="O8:Q8" si="1">O6/O7</f>
        <v>1.888888889</v>
      </c>
      <c r="P8" s="182">
        <f t="shared" si="1"/>
        <v>1.777777778</v>
      </c>
      <c r="Q8" s="183">
        <f t="shared" si="1"/>
        <v>3.857142857</v>
      </c>
      <c r="R8" s="180" t="s">
        <v>194</v>
      </c>
      <c r="S8" s="23" t="s">
        <v>195</v>
      </c>
    </row>
    <row r="9" ht="22.5" customHeight="1">
      <c r="B9" s="159" t="s">
        <v>196</v>
      </c>
      <c r="C9" s="160"/>
      <c r="E9" s="161">
        <v>399.0</v>
      </c>
      <c r="F9" s="169"/>
      <c r="G9" s="170"/>
      <c r="I9" s="45"/>
      <c r="J9" s="45"/>
      <c r="K9" s="48"/>
      <c r="N9" s="184" t="s">
        <v>197</v>
      </c>
      <c r="O9" s="181">
        <f>1.1*O8</f>
        <v>2.077777778</v>
      </c>
      <c r="P9" s="182">
        <f t="shared" ref="P9:Q9" si="2">1.25*P8</f>
        <v>2.222222222</v>
      </c>
      <c r="Q9" s="183">
        <f t="shared" si="2"/>
        <v>4.821428571</v>
      </c>
      <c r="R9" s="180" t="s">
        <v>189</v>
      </c>
      <c r="S9" s="23" t="s">
        <v>198</v>
      </c>
    </row>
    <row r="10" ht="22.5" customHeight="1">
      <c r="B10" s="159" t="s">
        <v>199</v>
      </c>
      <c r="C10" s="160">
        <f>4449+887</f>
        <v>5336</v>
      </c>
      <c r="D10" s="161">
        <f>46705.95+5683.5</f>
        <v>52389.45</v>
      </c>
      <c r="F10" s="169">
        <f t="shared" ref="F10:F11" si="3">D10/C10</f>
        <v>9.818112819</v>
      </c>
      <c r="G10" s="170">
        <f>$O$27*4</f>
        <v>48</v>
      </c>
      <c r="H10" s="115">
        <f>G12*60</f>
        <v>2880</v>
      </c>
      <c r="I10" s="48">
        <f>(H10-C11)*6.7</f>
        <v>495.8</v>
      </c>
      <c r="J10" s="45">
        <f>('Return of investment '!$L$56/(15*6))/H10</f>
        <v>2.276996012</v>
      </c>
      <c r="K10" s="48">
        <f>C11*$L$2</f>
        <v>22448</v>
      </c>
      <c r="L10" s="48">
        <f>K10-(J10*H10)</f>
        <v>15890.25149</v>
      </c>
      <c r="O10" s="44"/>
      <c r="P10" s="44"/>
    </row>
    <row r="11" ht="22.5" customHeight="1">
      <c r="B11" s="167" t="s">
        <v>200</v>
      </c>
      <c r="C11" s="160">
        <f>285+1412+1109</f>
        <v>2806</v>
      </c>
      <c r="D11" s="90">
        <f>11628.6+8128.95+634.5</f>
        <v>20392.05</v>
      </c>
      <c r="E11" s="161">
        <v>415.02</v>
      </c>
      <c r="F11" s="169">
        <f t="shared" si="3"/>
        <v>7.26730221</v>
      </c>
      <c r="G11" s="170"/>
      <c r="I11" s="45"/>
      <c r="J11" s="45"/>
      <c r="K11" s="48"/>
    </row>
    <row r="12" ht="22.5" customHeight="1">
      <c r="B12" s="167" t="s">
        <v>201</v>
      </c>
      <c r="C12" s="160"/>
      <c r="F12" s="169"/>
      <c r="G12" s="170">
        <f>$O$27*4</f>
        <v>48</v>
      </c>
      <c r="H12" s="115">
        <f>G14*60</f>
        <v>2880</v>
      </c>
      <c r="I12" s="48">
        <f>(H12-C13)*6.7</f>
        <v>19296</v>
      </c>
      <c r="J12" s="45">
        <f>('Return of investment '!$L$56/(15*6))/H12</f>
        <v>2.276996012</v>
      </c>
      <c r="K12" s="48">
        <f>C13*$L$2</f>
        <v>0</v>
      </c>
      <c r="L12" s="48">
        <f>K12-(J12*H12)</f>
        <v>-6557.748514</v>
      </c>
    </row>
    <row r="13" ht="22.5" customHeight="1">
      <c r="B13" s="167" t="s">
        <v>202</v>
      </c>
      <c r="C13" s="160"/>
      <c r="E13" s="161">
        <v>405.58</v>
      </c>
      <c r="F13" s="169"/>
      <c r="G13" s="170"/>
      <c r="I13" s="45"/>
      <c r="J13" s="45"/>
      <c r="K13" s="48"/>
    </row>
    <row r="14" ht="22.5" customHeight="1">
      <c r="B14" s="167" t="s">
        <v>203</v>
      </c>
      <c r="C14" s="160"/>
      <c r="F14" s="169"/>
      <c r="G14" s="170">
        <f>$O$27*4</f>
        <v>48</v>
      </c>
      <c r="H14" s="115">
        <f>G16*60</f>
        <v>0</v>
      </c>
      <c r="I14" s="48">
        <f>(H14-C15)*6.7</f>
        <v>0</v>
      </c>
      <c r="J14" s="45" t="str">
        <f>('Return of investment '!$L$56/(15*6))/H14</f>
        <v>#DIV/0!</v>
      </c>
      <c r="K14" s="48">
        <f>C15*$L$2</f>
        <v>0</v>
      </c>
      <c r="L14" s="115" t="str">
        <f>K14-(J14*H14)</f>
        <v>#DIV/0!</v>
      </c>
      <c r="N14" s="185" t="s">
        <v>204</v>
      </c>
      <c r="O14" s="185" t="s">
        <v>205</v>
      </c>
      <c r="P14" s="186" t="s">
        <v>206</v>
      </c>
      <c r="Q14" s="187"/>
    </row>
    <row r="15" ht="22.5" customHeight="1">
      <c r="B15" s="167" t="s">
        <v>207</v>
      </c>
      <c r="C15" s="160"/>
      <c r="E15" s="161">
        <v>705.4</v>
      </c>
      <c r="F15" s="169"/>
      <c r="G15" s="170"/>
      <c r="N15" s="185">
        <v>10.0</v>
      </c>
      <c r="O15" s="188">
        <f>O8*(1-0.005)^10</f>
        <v>1.796541358</v>
      </c>
      <c r="P15" s="189">
        <f>Q8*(1-0.005)^10</f>
        <v>3.668567646</v>
      </c>
      <c r="Q15" s="190"/>
    </row>
    <row r="16" ht="22.5" customHeight="1">
      <c r="B16" s="167" t="s">
        <v>182</v>
      </c>
      <c r="C16" s="160">
        <f>1600+957</f>
        <v>2557</v>
      </c>
      <c r="D16" s="90">
        <f>13800+6418.5</f>
        <v>20218.5</v>
      </c>
      <c r="F16" s="169"/>
      <c r="G16" s="170"/>
      <c r="N16" s="185">
        <v>15.0</v>
      </c>
      <c r="O16" s="188">
        <f>O8*(1-0.005)^15</f>
        <v>1.752074719</v>
      </c>
      <c r="P16" s="189">
        <f>Q8*(1-0.005)^15</f>
        <v>3.577766023</v>
      </c>
      <c r="Q16" s="190"/>
    </row>
    <row r="17" ht="22.5" customHeight="1">
      <c r="B17" s="191"/>
      <c r="C17" s="192">
        <f>SUM(Energy_Usage_kWh[(2025-2026) kWh])</f>
        <v>19486.53</v>
      </c>
      <c r="D17" s="87">
        <f>SUM(Energy_Usage_kWh[(2025-2026) Bill])</f>
        <v>166539.57</v>
      </c>
      <c r="E17" s="193">
        <f>SUM(Energy_Usage_kWh[2024-2025])</f>
        <v>3090.31</v>
      </c>
      <c r="F17" s="169"/>
      <c r="G17" s="170"/>
      <c r="H17" s="48">
        <f t="shared" ref="H17:I17" si="4">SUM(H4:H15)</f>
        <v>14760</v>
      </c>
      <c r="I17" s="45">
        <f t="shared" si="4"/>
        <v>80091.8</v>
      </c>
      <c r="J17" s="45" t="str">
        <f>AVERAGE(J4:J15)</f>
        <v>#DIV/0!</v>
      </c>
      <c r="K17" s="48">
        <f t="shared" ref="K17:L17" si="5">SUM(K4:K16)</f>
        <v>22448</v>
      </c>
      <c r="L17" s="48" t="str">
        <f t="shared" si="5"/>
        <v>#DIV/0!</v>
      </c>
      <c r="M17" s="48"/>
      <c r="N17" s="185">
        <v>20.0</v>
      </c>
      <c r="O17" s="189">
        <f>O8*(1-0.005)^20</f>
        <v>1.708708685</v>
      </c>
      <c r="P17" s="189">
        <f>Q8*(1-0.005)^20</f>
        <v>3.489211852</v>
      </c>
      <c r="Q17" s="190"/>
    </row>
    <row r="18" ht="21.0" customHeight="1">
      <c r="B18" s="23" t="s">
        <v>208</v>
      </c>
      <c r="C18" s="39">
        <f>Energy_Usage_kWh[[#TOTALS],[(2025-2026) kWh]]/365</f>
        <v>53.38775342</v>
      </c>
      <c r="D18" s="194" t="str">
        <f>"Rs. "&amp;round(SUM(Energy_Usage_kWh[(2025-2026) Bill])/Energy_Usage_kWh[[#TOTALS],[(2025-2026) kWh]], 2)</f>
        <v>Rs. 8.55</v>
      </c>
      <c r="E18" s="39">
        <f>Energy_Usage_kWh[[#TOTALS],[2024-2025]]/365</f>
        <v>8.46660274</v>
      </c>
      <c r="F18" s="45">
        <f>AVERAGE(F5:F15)</f>
        <v>8.297466892</v>
      </c>
      <c r="G18" s="45">
        <f>AVERAGE(G6:G16)</f>
        <v>49.2</v>
      </c>
      <c r="H18" s="48"/>
      <c r="N18" s="111"/>
      <c r="O18" s="111"/>
      <c r="P18" s="111"/>
      <c r="Q18" s="111"/>
    </row>
    <row r="19" ht="21.0" customHeight="1">
      <c r="B19" s="148"/>
      <c r="C19" s="148"/>
      <c r="H19" s="195"/>
      <c r="I19" s="195"/>
      <c r="N19" s="111"/>
      <c r="O19" s="111"/>
      <c r="P19" s="111"/>
      <c r="Q19" s="111"/>
    </row>
    <row r="20" ht="21.0" customHeight="1">
      <c r="B20" s="196" t="s">
        <v>209</v>
      </c>
      <c r="D20" s="197"/>
      <c r="E20" s="198" t="s">
        <v>210</v>
      </c>
      <c r="I20" s="195"/>
      <c r="N20" s="111"/>
      <c r="O20" s="111"/>
      <c r="P20" s="111"/>
      <c r="Q20" s="111"/>
    </row>
    <row r="21" ht="21.0" customHeight="1">
      <c r="D21" s="197"/>
      <c r="I21" s="195"/>
      <c r="N21" s="111"/>
      <c r="O21" s="111"/>
      <c r="P21" s="111"/>
      <c r="Q21" s="111"/>
    </row>
    <row r="22" ht="21.0" customHeight="1">
      <c r="D22" s="197"/>
      <c r="I22" s="195"/>
      <c r="N22" s="111"/>
      <c r="O22" s="111"/>
      <c r="P22" s="111"/>
      <c r="Q22" s="111"/>
    </row>
    <row r="23" ht="21.0" customHeight="1">
      <c r="I23" s="195"/>
      <c r="N23" s="111"/>
      <c r="O23" s="111"/>
      <c r="P23" s="111"/>
      <c r="Q23" s="111"/>
    </row>
    <row r="24" ht="24.0" customHeight="1">
      <c r="I24" s="195"/>
      <c r="N24" s="190"/>
      <c r="O24" s="199" t="s">
        <v>211</v>
      </c>
      <c r="Q24" s="200" t="s">
        <v>212</v>
      </c>
    </row>
    <row r="25" ht="21.0" customHeight="1">
      <c r="N25" s="201" t="s">
        <v>213</v>
      </c>
      <c r="O25" s="202">
        <v>620.0</v>
      </c>
      <c r="P25" s="202">
        <v>610.0</v>
      </c>
      <c r="Q25" s="202">
        <v>615.0</v>
      </c>
    </row>
    <row r="26" ht="20.25" customHeight="1">
      <c r="N26" s="203" t="s">
        <v>214</v>
      </c>
      <c r="O26" s="204">
        <f>ROUND((((System_Size[[#TOTALS],[Normal System]])*1000)/P25),0)</f>
        <v>3</v>
      </c>
      <c r="P26" s="204">
        <f>ROUND((((System_Size[[#TOTALS],[Normal System]]+System_Size[[#TOTALS],[Future expansion]])*1000)/P25),0)</f>
        <v>7</v>
      </c>
      <c r="Q26" s="204">
        <v>11.0</v>
      </c>
    </row>
    <row r="27">
      <c r="H27" s="48"/>
      <c r="N27" s="203" t="s">
        <v>215</v>
      </c>
      <c r="O27" s="205">
        <v>12.0</v>
      </c>
      <c r="P27" s="205">
        <v>8.0</v>
      </c>
      <c r="Q27" s="205">
        <v>6.0</v>
      </c>
    </row>
    <row r="28">
      <c r="B28" s="148"/>
      <c r="C28" s="148"/>
      <c r="E28" s="148"/>
      <c r="F28" s="148"/>
      <c r="H28" s="148"/>
      <c r="I28" s="148"/>
      <c r="N28" s="203" t="s">
        <v>216</v>
      </c>
      <c r="O28" s="206">
        <f t="shared" ref="O28:Q28" si="6">(O26*O25)/1000</f>
        <v>1.86</v>
      </c>
      <c r="P28" s="206">
        <f t="shared" si="6"/>
        <v>4.27</v>
      </c>
      <c r="Q28" s="206">
        <f t="shared" si="6"/>
        <v>6.765</v>
      </c>
    </row>
    <row r="29" ht="24.0" customHeight="1">
      <c r="B29" s="152" t="s">
        <v>217</v>
      </c>
      <c r="C29" s="153" t="s">
        <v>218</v>
      </c>
      <c r="E29" s="152" t="s">
        <v>167</v>
      </c>
      <c r="F29" s="152" t="s">
        <v>219</v>
      </c>
      <c r="H29" s="152" t="s">
        <v>167</v>
      </c>
      <c r="I29" s="152" t="s">
        <v>219</v>
      </c>
      <c r="J29" s="207"/>
      <c r="K29" s="207"/>
      <c r="L29" s="207"/>
      <c r="M29" s="207"/>
      <c r="N29" s="23" t="s">
        <v>220</v>
      </c>
      <c r="O29" s="45">
        <f t="shared" ref="O29:P29" si="7">O28/O27</f>
        <v>0.155</v>
      </c>
      <c r="P29" s="45">
        <f t="shared" si="7"/>
        <v>0.53375</v>
      </c>
      <c r="Q29" s="45">
        <f>Q28/(O8+Q8)</f>
        <v>1.177334254</v>
      </c>
    </row>
    <row r="30" ht="23.25" customHeight="1">
      <c r="B30" s="161" t="s">
        <v>221</v>
      </c>
      <c r="C30" s="161">
        <v>4.5</v>
      </c>
      <c r="E30" s="161" t="s">
        <v>222</v>
      </c>
      <c r="F30" s="208" t="s">
        <v>223</v>
      </c>
      <c r="H30" s="161" t="s">
        <v>222</v>
      </c>
      <c r="I30" s="208"/>
      <c r="J30" s="207"/>
      <c r="K30" s="207"/>
      <c r="L30" s="207"/>
      <c r="M30" s="207"/>
    </row>
    <row r="31" ht="22.5" customHeight="1">
      <c r="B31" s="161" t="s">
        <v>224</v>
      </c>
      <c r="C31" s="161">
        <v>25.0</v>
      </c>
      <c r="E31" s="209" t="s">
        <v>225</v>
      </c>
      <c r="F31" s="208">
        <v>45.0</v>
      </c>
      <c r="H31" s="209" t="s">
        <v>226</v>
      </c>
      <c r="I31" s="208">
        <v>0.0</v>
      </c>
      <c r="J31" s="207"/>
      <c r="K31" s="207"/>
      <c r="L31" s="207"/>
      <c r="M31" s="207"/>
      <c r="N31" s="210"/>
      <c r="O31" s="211"/>
      <c r="P31" s="211"/>
    </row>
    <row r="32" ht="22.5" customHeight="1">
      <c r="B32" s="161" t="s">
        <v>227</v>
      </c>
      <c r="C32" s="161">
        <v>0.0</v>
      </c>
      <c r="E32" s="212" t="s">
        <v>228</v>
      </c>
      <c r="F32" s="208">
        <v>3.0</v>
      </c>
      <c r="H32" s="213" t="s">
        <v>228</v>
      </c>
      <c r="I32" s="208">
        <v>4.0</v>
      </c>
      <c r="O32" s="44"/>
    </row>
    <row r="33" ht="22.5" customHeight="1">
      <c r="B33" s="161" t="s">
        <v>229</v>
      </c>
      <c r="C33" s="90">
        <f>1-(C32/100)</f>
        <v>1</v>
      </c>
      <c r="E33" s="212" t="s">
        <v>230</v>
      </c>
      <c r="F33" s="214">
        <f>(F31*0.9*F32)/7</f>
        <v>17.35714286</v>
      </c>
      <c r="H33" s="213" t="s">
        <v>230</v>
      </c>
      <c r="I33" s="214">
        <f>(I31*0.9*I32)/7</f>
        <v>0</v>
      </c>
      <c r="J33" s="207"/>
      <c r="K33" s="207"/>
      <c r="L33" s="207"/>
      <c r="M33" s="207"/>
      <c r="N33" s="210"/>
    </row>
    <row r="34">
      <c r="G34" s="207"/>
      <c r="H34" s="207"/>
      <c r="I34" s="207"/>
      <c r="J34" s="207"/>
      <c r="K34" s="207"/>
      <c r="L34" s="207"/>
      <c r="M34" s="207"/>
      <c r="N34" s="210"/>
      <c r="P34" s="45"/>
      <c r="R34" s="48"/>
    </row>
    <row r="35">
      <c r="G35" s="207"/>
      <c r="H35" s="207"/>
      <c r="I35" s="207"/>
      <c r="J35" s="207"/>
      <c r="K35" s="207"/>
      <c r="L35" s="207"/>
      <c r="M35" s="207"/>
      <c r="N35" s="210"/>
    </row>
    <row r="36">
      <c r="G36" s="207"/>
      <c r="O36" s="44"/>
    </row>
    <row r="37">
      <c r="O37" s="44"/>
    </row>
    <row r="38">
      <c r="O38" s="44"/>
    </row>
    <row r="39">
      <c r="O39" s="43"/>
    </row>
    <row r="40">
      <c r="O40" s="43"/>
    </row>
    <row r="41">
      <c r="O41" s="43"/>
    </row>
    <row r="42">
      <c r="O42" s="44"/>
    </row>
    <row r="43">
      <c r="O43" s="44"/>
    </row>
    <row r="44">
      <c r="O44" s="44"/>
      <c r="R44" s="117"/>
      <c r="S44" s="117"/>
      <c r="T44" s="117"/>
    </row>
    <row r="47">
      <c r="O47" s="44"/>
    </row>
    <row r="48">
      <c r="O48" s="44"/>
    </row>
  </sheetData>
  <mergeCells count="6">
    <mergeCell ref="G2:J2"/>
    <mergeCell ref="B20:C25"/>
    <mergeCell ref="E20:H25"/>
    <mergeCell ref="K24:L24"/>
    <mergeCell ref="O24:P24"/>
    <mergeCell ref="O32:P32"/>
  </mergeCells>
  <dataValidations>
    <dataValidation type="custom" allowBlank="1" showDropDown="1" sqref="O4:Q8 C4:C16">
      <formula1>AND(ISNUMBER(C4),(NOT(OR(NOT(ISERROR(DATEVALUE(C4))), AND(ISNUMBER(C4), LEFT(CELL("format", C4))="D")))))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5"/>
    <col customWidth="1" min="5" max="5" width="20.0"/>
    <col customWidth="1" min="6" max="6" width="21.0"/>
    <col customWidth="1" min="7" max="7" width="13.38"/>
    <col customWidth="1" min="8" max="10" width="14.88"/>
    <col customWidth="1" min="11" max="11" width="16.38"/>
    <col customWidth="1" min="12" max="12" width="15.13"/>
    <col customWidth="1" min="13" max="13" width="14.13"/>
    <col customWidth="1" min="17" max="17" width="14.63"/>
    <col customWidth="1" min="18" max="18" width="13.75"/>
    <col customWidth="1" min="20" max="20" width="15.0"/>
    <col customWidth="1" min="22" max="22" width="15.0"/>
    <col customWidth="1" min="24" max="24" width="15.5"/>
  </cols>
  <sheetData>
    <row r="3">
      <c r="B3" s="1" t="s">
        <v>0</v>
      </c>
      <c r="C3" s="2">
        <v>25.0</v>
      </c>
    </row>
    <row r="5">
      <c r="H5" s="3" t="s">
        <v>1</v>
      </c>
      <c r="I5" s="4"/>
      <c r="N5" s="3" t="s">
        <v>2</v>
      </c>
      <c r="O5" s="4"/>
      <c r="S5" s="5"/>
      <c r="T5" s="3" t="s">
        <v>2</v>
      </c>
      <c r="U5" s="4"/>
    </row>
    <row r="6">
      <c r="H6" s="6" t="s">
        <v>3</v>
      </c>
      <c r="I6" s="6" t="s">
        <v>4</v>
      </c>
      <c r="J6" s="7" t="s">
        <v>5</v>
      </c>
      <c r="K6" s="8" t="s">
        <v>6</v>
      </c>
      <c r="L6" s="7" t="s">
        <v>7</v>
      </c>
      <c r="N6" s="6" t="s">
        <v>3</v>
      </c>
      <c r="O6" s="6" t="s">
        <v>4</v>
      </c>
      <c r="P6" s="7" t="s">
        <v>5</v>
      </c>
      <c r="Q6" s="8" t="s">
        <v>6</v>
      </c>
      <c r="R6" s="7" t="s">
        <v>7</v>
      </c>
      <c r="S6" s="5"/>
      <c r="T6" s="6" t="s">
        <v>3</v>
      </c>
      <c r="U6" s="6" t="s">
        <v>4</v>
      </c>
      <c r="V6" s="7" t="s">
        <v>5</v>
      </c>
      <c r="W6" s="8" t="s">
        <v>6</v>
      </c>
      <c r="X6" s="7" t="s">
        <v>7</v>
      </c>
    </row>
    <row r="7">
      <c r="B7" s="9" t="s">
        <v>8</v>
      </c>
      <c r="C7" s="10">
        <v>2100000.0</v>
      </c>
      <c r="E7" s="11" t="s">
        <v>9</v>
      </c>
      <c r="F7" s="12">
        <v>80.0</v>
      </c>
      <c r="H7" s="13">
        <v>401.0</v>
      </c>
      <c r="I7" s="14">
        <v>500.0</v>
      </c>
      <c r="J7" s="15">
        <v>6.3</v>
      </c>
      <c r="K7" s="16"/>
      <c r="L7" s="17">
        <f t="shared" ref="L7:L10" si="1">K7*J7</f>
        <v>0</v>
      </c>
      <c r="N7" s="8">
        <v>1001.0</v>
      </c>
      <c r="O7" s="18">
        <v>9999.0</v>
      </c>
      <c r="P7" s="15">
        <v>11.55</v>
      </c>
      <c r="Q7" s="19">
        <f t="shared" ref="Q7:Q11" si="2">if(($F$9-SUM(Q8:Q$13))-($O7-($N7-1))&gt;0,($O7-($N7-1)),($F$9-SUM(Q8:Q$13)))</f>
        <v>3866.666667</v>
      </c>
      <c r="R7" s="20">
        <f t="shared" ref="R7:R13" si="3">Q7*P7</f>
        <v>44660</v>
      </c>
      <c r="S7" s="5"/>
      <c r="T7" s="8">
        <v>1001.0</v>
      </c>
      <c r="U7" s="18">
        <v>9999.0</v>
      </c>
      <c r="V7" s="15">
        <v>11.55</v>
      </c>
      <c r="W7" s="21">
        <f>LET(
remaining,$W$16-SUM(X8:X14),
result,IF(remaining&lt;=X7,remaining/$V7,(U7-T7)+1),
MAX(0,result)
)</f>
        <v>3754.545455</v>
      </c>
      <c r="X7" s="22">
        <f t="shared" ref="X7:X14" si="4">$V7*($U7-($T7-1))</f>
        <v>103938.45</v>
      </c>
    </row>
    <row r="8">
      <c r="B8" s="23" t="s">
        <v>231</v>
      </c>
      <c r="C8" s="24"/>
      <c r="E8" s="25" t="s">
        <v>11</v>
      </c>
      <c r="F8" s="26">
        <f>F7*365</f>
        <v>29200</v>
      </c>
      <c r="H8" s="13">
        <v>201.0</v>
      </c>
      <c r="I8" s="14">
        <v>400.0</v>
      </c>
      <c r="J8" s="15">
        <v>4.7</v>
      </c>
      <c r="K8" s="16"/>
      <c r="L8" s="17">
        <f t="shared" si="1"/>
        <v>0</v>
      </c>
      <c r="N8" s="13">
        <v>801.0</v>
      </c>
      <c r="O8" s="14">
        <v>1000.0</v>
      </c>
      <c r="P8" s="15">
        <v>10.5</v>
      </c>
      <c r="Q8" s="16">
        <f t="shared" si="2"/>
        <v>200</v>
      </c>
      <c r="R8" s="27">
        <f t="shared" si="3"/>
        <v>2100</v>
      </c>
      <c r="S8" s="5"/>
      <c r="T8" s="13">
        <v>801.0</v>
      </c>
      <c r="U8" s="14">
        <v>1000.0</v>
      </c>
      <c r="V8" s="15">
        <v>10.5</v>
      </c>
      <c r="W8" s="21">
        <f t="shared" ref="W8:W13" si="5">LET(
remaining,$W$16-SUM(X9:X$14),
result,IF(remaining&lt;=X8,remaining/$V8,(U8-T8)+1),
MAX(0,result)
)</f>
        <v>200</v>
      </c>
      <c r="X8" s="28">
        <f t="shared" si="4"/>
        <v>2100</v>
      </c>
    </row>
    <row r="9">
      <c r="B9" s="29" t="s">
        <v>12</v>
      </c>
      <c r="C9" s="30">
        <f>C7+C8</f>
        <v>2100000</v>
      </c>
      <c r="E9" s="31" t="s">
        <v>13</v>
      </c>
      <c r="F9" s="32">
        <f>F8/6</f>
        <v>4866.666667</v>
      </c>
      <c r="H9" s="13">
        <v>101.0</v>
      </c>
      <c r="I9" s="14">
        <v>200.0</v>
      </c>
      <c r="J9" s="15">
        <v>2.35</v>
      </c>
      <c r="K9" s="16"/>
      <c r="L9" s="17">
        <f t="shared" si="1"/>
        <v>0</v>
      </c>
      <c r="N9" s="13">
        <v>601.0</v>
      </c>
      <c r="O9" s="14">
        <v>800.0</v>
      </c>
      <c r="P9" s="15">
        <v>9.45</v>
      </c>
      <c r="Q9" s="16">
        <f t="shared" si="2"/>
        <v>200</v>
      </c>
      <c r="R9" s="17">
        <f t="shared" si="3"/>
        <v>1890</v>
      </c>
      <c r="S9" s="5"/>
      <c r="T9" s="13">
        <v>601.0</v>
      </c>
      <c r="U9" s="14">
        <v>800.0</v>
      </c>
      <c r="V9" s="15">
        <v>9.45</v>
      </c>
      <c r="W9" s="21">
        <f t="shared" si="5"/>
        <v>200</v>
      </c>
      <c r="X9" s="28">
        <f t="shared" si="4"/>
        <v>1890</v>
      </c>
    </row>
    <row r="10">
      <c r="H10" s="33">
        <v>0.0</v>
      </c>
      <c r="I10" s="34">
        <v>100.0</v>
      </c>
      <c r="J10" s="15">
        <v>0.0</v>
      </c>
      <c r="K10" s="16"/>
      <c r="L10" s="17">
        <f t="shared" si="1"/>
        <v>0</v>
      </c>
      <c r="N10" s="13">
        <v>501.0</v>
      </c>
      <c r="O10" s="14">
        <v>600.0</v>
      </c>
      <c r="P10" s="15">
        <v>8.4</v>
      </c>
      <c r="Q10" s="16">
        <f t="shared" si="2"/>
        <v>100</v>
      </c>
      <c r="R10" s="17">
        <f t="shared" si="3"/>
        <v>840</v>
      </c>
      <c r="S10" s="5"/>
      <c r="T10" s="13">
        <v>501.0</v>
      </c>
      <c r="U10" s="14">
        <v>600.0</v>
      </c>
      <c r="V10" s="15">
        <v>8.4</v>
      </c>
      <c r="W10" s="21">
        <f t="shared" si="5"/>
        <v>100</v>
      </c>
      <c r="X10" s="28">
        <f t="shared" si="4"/>
        <v>840</v>
      </c>
    </row>
    <row r="11">
      <c r="N11" s="13">
        <v>401.0</v>
      </c>
      <c r="O11" s="14">
        <v>500.0</v>
      </c>
      <c r="P11" s="15">
        <v>6.3</v>
      </c>
      <c r="Q11" s="16">
        <f t="shared" si="2"/>
        <v>100</v>
      </c>
      <c r="R11" s="17">
        <f t="shared" si="3"/>
        <v>630</v>
      </c>
      <c r="S11" s="5"/>
      <c r="T11" s="13">
        <v>401.0</v>
      </c>
      <c r="U11" s="14">
        <v>500.0</v>
      </c>
      <c r="V11" s="15">
        <v>6.3</v>
      </c>
      <c r="W11" s="21">
        <f t="shared" si="5"/>
        <v>100</v>
      </c>
      <c r="X11" s="28">
        <f t="shared" si="4"/>
        <v>630</v>
      </c>
    </row>
    <row r="12">
      <c r="B12" s="35" t="s">
        <v>14</v>
      </c>
      <c r="C12" s="36">
        <f>SUM(R7:R13)</f>
        <v>51530</v>
      </c>
      <c r="E12" s="23" t="s">
        <v>15</v>
      </c>
      <c r="F12" s="37">
        <v>0.03</v>
      </c>
      <c r="N12" s="13">
        <v>101.0</v>
      </c>
      <c r="O12" s="14">
        <v>400.0</v>
      </c>
      <c r="P12" s="15">
        <v>4.7</v>
      </c>
      <c r="Q12" s="16">
        <f>if(($F$9-Q$13)-($O12-($N12-1))&gt;0,($O12-($N12-1)),($F$9-SUM(Q12:Q$13)))</f>
        <v>300</v>
      </c>
      <c r="R12" s="17">
        <f t="shared" si="3"/>
        <v>1410</v>
      </c>
      <c r="S12" s="5"/>
      <c r="T12" s="13">
        <v>201.0</v>
      </c>
      <c r="U12" s="14">
        <v>400.0</v>
      </c>
      <c r="V12" s="15">
        <v>4.7</v>
      </c>
      <c r="W12" s="21">
        <f t="shared" si="5"/>
        <v>200</v>
      </c>
      <c r="X12" s="28">
        <f t="shared" si="4"/>
        <v>940</v>
      </c>
    </row>
    <row r="13">
      <c r="B13" s="23" t="s">
        <v>16</v>
      </c>
      <c r="C13" s="38">
        <f> (SUM(R7:R13)) * 6</f>
        <v>309180</v>
      </c>
      <c r="E13" s="23" t="s">
        <v>17</v>
      </c>
      <c r="F13" s="39"/>
      <c r="J13" s="23" t="s">
        <v>18</v>
      </c>
      <c r="K13" s="40">
        <f>SUM(L7:L10)</f>
        <v>0</v>
      </c>
      <c r="N13" s="33">
        <v>0.0</v>
      </c>
      <c r="O13" s="34">
        <v>100.0</v>
      </c>
      <c r="P13" s="15">
        <v>0.0</v>
      </c>
      <c r="Q13" s="16">
        <f>if(($F$9-($O13-$N13))&gt;0,($O13-$N13),($F$9-($O13-$N13)))</f>
        <v>100</v>
      </c>
      <c r="R13" s="17">
        <f t="shared" si="3"/>
        <v>0</v>
      </c>
      <c r="S13" s="5"/>
      <c r="T13" s="13">
        <v>101.0</v>
      </c>
      <c r="U13" s="14">
        <v>200.0</v>
      </c>
      <c r="V13" s="15">
        <v>2.35</v>
      </c>
      <c r="W13" s="21">
        <f t="shared" si="5"/>
        <v>100</v>
      </c>
      <c r="X13" s="28">
        <f t="shared" si="4"/>
        <v>235</v>
      </c>
    </row>
    <row r="14">
      <c r="B14" s="41" t="s">
        <v>19</v>
      </c>
      <c r="C14" s="42">
        <f>(C9/C13)</f>
        <v>6.792159907</v>
      </c>
      <c r="D14" s="43" t="str">
        <f>INT(C14)&amp;" years"</f>
        <v>6 years</v>
      </c>
      <c r="E14" s="44" t="str">
        <f>ROUNDUP((C14-INT(C14))*12,0)&amp; " months"</f>
        <v>10 months</v>
      </c>
      <c r="J14" s="23" t="s">
        <v>20</v>
      </c>
      <c r="K14" s="45">
        <f>sum(J7:J10)/COUNT(J7:J10)</f>
        <v>3.3375</v>
      </c>
      <c r="S14" s="5"/>
      <c r="T14" s="33">
        <v>0.0</v>
      </c>
      <c r="U14" s="34">
        <v>100.0</v>
      </c>
      <c r="V14" s="15">
        <v>0.0</v>
      </c>
      <c r="W14" s="21">
        <f>LET(
remaining,$W$16-SUM(X14:X$15),
result,IF(remaining&lt;=X14,remaining/$V14,(U14-T14)),
MAX(0,result)
)</f>
        <v>100</v>
      </c>
      <c r="X14" s="28">
        <f t="shared" si="4"/>
        <v>0</v>
      </c>
    </row>
    <row r="15">
      <c r="B15" s="29" t="s">
        <v>21</v>
      </c>
      <c r="C15" s="46">
        <f>(C13/C9)*100</f>
        <v>14.72285714</v>
      </c>
      <c r="J15" s="23" t="s">
        <v>22</v>
      </c>
      <c r="K15" s="45" t="str">
        <f>K13/SUM(K7:K10)</f>
        <v>#DIV/0!</v>
      </c>
    </row>
    <row r="16">
      <c r="P16" s="23" t="s">
        <v>18</v>
      </c>
      <c r="Q16" s="47">
        <f>SUM(R7:R13)</f>
        <v>51530</v>
      </c>
      <c r="V16" s="23" t="s">
        <v>23</v>
      </c>
      <c r="W16" s="23">
        <v>50000.0</v>
      </c>
    </row>
    <row r="17">
      <c r="B17" s="23" t="s">
        <v>24</v>
      </c>
      <c r="C17" s="48">
        <f>Quotation!K5</f>
        <v>54799.92</v>
      </c>
      <c r="P17" s="23" t="s">
        <v>20</v>
      </c>
      <c r="Q17" s="45">
        <f>sum(P7:P13)/COUNT(P7:P13)</f>
        <v>7.271428571</v>
      </c>
      <c r="V17" s="23" t="s">
        <v>25</v>
      </c>
      <c r="W17" s="40">
        <f>SUMIF(W7:W14,"&gt;0")</f>
        <v>4754.545455</v>
      </c>
    </row>
    <row r="18">
      <c r="L18" s="39"/>
      <c r="P18" s="23" t="s">
        <v>22</v>
      </c>
      <c r="Q18" s="45">
        <f>Q16/SUM(Q7:Q13)</f>
        <v>10.58835616</v>
      </c>
      <c r="R18" s="39"/>
      <c r="V18" s="23" t="s">
        <v>26</v>
      </c>
      <c r="W18" s="39">
        <f>W16/W17</f>
        <v>10.51625239</v>
      </c>
    </row>
    <row r="23">
      <c r="B23" s="49" t="s">
        <v>27</v>
      </c>
      <c r="C23" s="50"/>
      <c r="D23" s="50"/>
      <c r="E23" s="51" t="s">
        <v>28</v>
      </c>
      <c r="F23" s="52">
        <v>8.0</v>
      </c>
      <c r="G23" s="50"/>
      <c r="H23" s="50"/>
      <c r="I23" s="50"/>
      <c r="J23" s="50"/>
      <c r="K23" s="53" t="s">
        <v>3</v>
      </c>
      <c r="L23" s="53" t="s">
        <v>4</v>
      </c>
      <c r="M23" s="54" t="s">
        <v>5</v>
      </c>
      <c r="N23" s="8" t="s">
        <v>6</v>
      </c>
      <c r="O23" s="54" t="s">
        <v>29</v>
      </c>
      <c r="P23" s="55"/>
      <c r="Q23" s="50"/>
      <c r="R23" s="56"/>
    </row>
    <row r="24">
      <c r="B24" s="57"/>
      <c r="E24" s="58" t="s">
        <v>30</v>
      </c>
      <c r="F24" s="59">
        <f>F23*365</f>
        <v>2920</v>
      </c>
      <c r="K24" s="8">
        <v>1001.0</v>
      </c>
      <c r="L24" s="18">
        <v>9999.0</v>
      </c>
      <c r="M24" s="60">
        <v>11.55</v>
      </c>
      <c r="N24" s="61">
        <f t="shared" ref="N24:N30" si="6">if(($F$25-SUM(N25:N$31))-($L24-$K24)&gt;0,($L24-$K24),($F$25-SUM(N25:N$31)))</f>
        <v>0</v>
      </c>
      <c r="O24" s="62">
        <f t="shared" ref="O24:O31" si="7">N24*M24</f>
        <v>0</v>
      </c>
      <c r="R24" s="5"/>
    </row>
    <row r="25">
      <c r="B25" s="57"/>
      <c r="E25" s="63" t="s">
        <v>31</v>
      </c>
      <c r="F25" s="64">
        <f>F24/6</f>
        <v>486.6666667</v>
      </c>
      <c r="K25" s="13">
        <v>801.0</v>
      </c>
      <c r="L25" s="14">
        <v>1000.0</v>
      </c>
      <c r="M25" s="60">
        <v>10.5</v>
      </c>
      <c r="N25" s="61">
        <f t="shared" si="6"/>
        <v>0</v>
      </c>
      <c r="O25" s="62">
        <f t="shared" si="7"/>
        <v>0</v>
      </c>
      <c r="R25" s="5"/>
    </row>
    <row r="26">
      <c r="B26" s="57"/>
      <c r="K26" s="13">
        <v>601.0</v>
      </c>
      <c r="L26" s="14">
        <v>800.0</v>
      </c>
      <c r="M26" s="60">
        <v>9.45</v>
      </c>
      <c r="N26" s="61">
        <f t="shared" si="6"/>
        <v>0</v>
      </c>
      <c r="O26" s="62">
        <f t="shared" si="7"/>
        <v>0</v>
      </c>
      <c r="R26" s="5"/>
    </row>
    <row r="27">
      <c r="B27" s="57"/>
      <c r="K27" s="13">
        <v>501.0</v>
      </c>
      <c r="L27" s="14">
        <v>600.0</v>
      </c>
      <c r="M27" s="60">
        <v>8.4</v>
      </c>
      <c r="N27" s="61">
        <f t="shared" si="6"/>
        <v>0</v>
      </c>
      <c r="O27" s="62">
        <f t="shared" si="7"/>
        <v>0</v>
      </c>
      <c r="R27" s="5"/>
    </row>
    <row r="28">
      <c r="B28" s="57"/>
      <c r="E28" s="8" t="s">
        <v>32</v>
      </c>
      <c r="F28" s="65">
        <f>SUM(O24:O31)</f>
        <v>1732.85</v>
      </c>
      <c r="I28" s="45"/>
      <c r="K28" s="13">
        <v>401.0</v>
      </c>
      <c r="L28" s="14">
        <v>500.0</v>
      </c>
      <c r="M28" s="60">
        <v>6.3</v>
      </c>
      <c r="N28" s="61">
        <f t="shared" si="6"/>
        <v>89.66666667</v>
      </c>
      <c r="O28" s="62">
        <f t="shared" si="7"/>
        <v>564.9</v>
      </c>
      <c r="R28" s="5"/>
    </row>
    <row r="29">
      <c r="B29" s="57"/>
      <c r="E29" s="33" t="s">
        <v>33</v>
      </c>
      <c r="F29" s="66">
        <f> F28*6</f>
        <v>10397.1</v>
      </c>
      <c r="K29" s="13">
        <v>201.0</v>
      </c>
      <c r="L29" s="14">
        <v>400.0</v>
      </c>
      <c r="M29" s="60">
        <v>4.7</v>
      </c>
      <c r="N29" s="16">
        <f t="shared" si="6"/>
        <v>199</v>
      </c>
      <c r="O29" s="62">
        <f t="shared" si="7"/>
        <v>935.3</v>
      </c>
      <c r="R29" s="5"/>
    </row>
    <row r="30">
      <c r="B30" s="57"/>
      <c r="E30" s="23"/>
      <c r="F30" s="39"/>
      <c r="H30" s="67" t="s">
        <v>34</v>
      </c>
      <c r="K30" s="13">
        <v>101.0</v>
      </c>
      <c r="L30" s="14">
        <v>200.0</v>
      </c>
      <c r="M30" s="60">
        <v>2.35</v>
      </c>
      <c r="N30" s="16">
        <f t="shared" si="6"/>
        <v>99</v>
      </c>
      <c r="O30" s="62">
        <f t="shared" si="7"/>
        <v>232.65</v>
      </c>
      <c r="R30" s="5"/>
    </row>
    <row r="31">
      <c r="B31" s="57"/>
      <c r="E31" s="8" t="s">
        <v>35</v>
      </c>
      <c r="F31" s="215" t="str">
        <f t="array" ref="F31">INDEX(Table6_2[Years ],MATCH(TRUE,Table6_2[Break Even ]&gt;=0,0)-1)+ABS(INDEX(Table6_2[Break Even ],MATCH(TRUE,Table6_2[Break Even ]&gt;=0,0)-1))/(INDEX(Table6_2[Break Even ],MATCH(TRUE,Table6_2[Break Even ]&gt;=0,0))-INDEX(Table6_2[Break Even ],MATCH(TRUE,Table6_2[Break Even ]&gt;=0,0)-1))</f>
        <v>#N/A</v>
      </c>
      <c r="G31" s="69"/>
      <c r="H31" s="70" t="str">
        <f t="array" ref="H31">INDEX(Table6_2[Years ],MATCH(TRUE,Table6_2[Break Even (Rental)]&gt;=0,0)-1)+ABS(INDEX(Table6_2[Break Even (Rental)],MATCH(TRUE,Table6_2[Break Even (Rental)]&gt;=0,0)-1))/(INDEX(Table6_2[Break Even (Rental)],MATCH(TRUE,Table6_2[Break Even (Rental)]&gt;=0,0))-INDEX(Table6_2[Break Even (Rental)],MATCH(TRUE,Table6_2[Break Even (Rental)]&gt;=0,0)-1))</f>
        <v>#N/A</v>
      </c>
      <c r="I31" s="71"/>
      <c r="K31" s="33">
        <v>0.0</v>
      </c>
      <c r="L31" s="34">
        <v>100.0</v>
      </c>
      <c r="M31" s="60">
        <v>0.0</v>
      </c>
      <c r="N31" s="16">
        <f>if(($F$25-($L30-$K30))&gt;0,($L30-$K30),($F$25-($L30-$K30)))</f>
        <v>99</v>
      </c>
      <c r="O31" s="62">
        <f t="shared" si="7"/>
        <v>0</v>
      </c>
      <c r="R31" s="5"/>
    </row>
    <row r="32">
      <c r="B32" s="57"/>
      <c r="E32" s="33" t="s">
        <v>36</v>
      </c>
      <c r="F32" s="72" t="str">
        <f>INT(F31)&amp;" years"</f>
        <v>#N/A</v>
      </c>
      <c r="G32" s="73" t="str">
        <f>ROUNDUP((F31-INT(F31))*12,0)&amp; " months"</f>
        <v>#N/A</v>
      </c>
      <c r="H32" s="74" t="str">
        <f>INT(H31)&amp;" years"</f>
        <v>#N/A</v>
      </c>
      <c r="I32" s="75" t="str">
        <f>ROUNDUP((H31-INT(H31))*12,0)&amp; " months"</f>
        <v>#N/A</v>
      </c>
      <c r="R32" s="5"/>
    </row>
    <row r="33">
      <c r="B33" s="57"/>
      <c r="D33" s="76"/>
      <c r="R33" s="5"/>
    </row>
    <row r="34">
      <c r="B34" s="57"/>
      <c r="F34" s="23" t="s">
        <v>37</v>
      </c>
      <c r="G34" s="77">
        <v>0.03</v>
      </c>
      <c r="R34" s="5"/>
    </row>
    <row r="35">
      <c r="B35" s="57"/>
      <c r="R35" s="5"/>
    </row>
    <row r="36" ht="43.5" customHeight="1">
      <c r="B36" s="57"/>
      <c r="E36" s="78" t="s">
        <v>38</v>
      </c>
      <c r="F36" s="79" t="s">
        <v>39</v>
      </c>
      <c r="G36" s="79" t="s">
        <v>40</v>
      </c>
      <c r="H36" s="80" t="s">
        <v>41</v>
      </c>
      <c r="I36" s="80" t="s">
        <v>42</v>
      </c>
      <c r="J36" s="79" t="s">
        <v>43</v>
      </c>
      <c r="K36" s="81" t="s">
        <v>44</v>
      </c>
      <c r="L36" s="82" t="s">
        <v>45</v>
      </c>
      <c r="M36" s="83" t="s">
        <v>46</v>
      </c>
      <c r="N36" s="84" t="s">
        <v>47</v>
      </c>
      <c r="O36" s="84" t="s">
        <v>48</v>
      </c>
      <c r="Q36" s="23" t="s">
        <v>49</v>
      </c>
      <c r="S36" s="85">
        <v>8.0</v>
      </c>
    </row>
    <row r="37" ht="22.5" customHeight="1">
      <c r="B37" s="86"/>
      <c r="E37" s="78">
        <v>1.0</v>
      </c>
      <c r="F37" s="87">
        <f>F29</f>
        <v>10397.1</v>
      </c>
      <c r="G37" s="88">
        <f t="shared" ref="G37:G56" si="9">0.1*F37</f>
        <v>1039.71</v>
      </c>
      <c r="H37" s="87">
        <f t="shared" ref="H37:I37" si="8">F37/6</f>
        <v>1732.85</v>
      </c>
      <c r="I37" s="87">
        <f t="shared" si="8"/>
        <v>173.285</v>
      </c>
      <c r="J37" s="87">
        <f t="shared" ref="J37:J56" si="11">F37-G37</f>
        <v>9357.39</v>
      </c>
      <c r="K37" s="88">
        <f>F37</f>
        <v>10397.1</v>
      </c>
      <c r="L37" s="89">
        <f>C9+G37</f>
        <v>2101039.71</v>
      </c>
      <c r="M37" s="89">
        <f>-C9+J37</f>
        <v>-2090642.61</v>
      </c>
      <c r="N37" s="90" t="str">
        <f>J37+'On-grid System sizing calculato'!$L$17</f>
        <v>#DIV/0!</v>
      </c>
      <c r="O37" s="87">
        <f>-C9-G37+'On-grid System sizing calculato'!I17+S38</f>
        <v>-1865055.67</v>
      </c>
      <c r="Q37" s="23" t="s">
        <v>50</v>
      </c>
      <c r="S37" s="48">
        <f>Energy_Usage_kWh[[#TOTALS],[(2025-2026) kWh]]</f>
        <v>19486.53</v>
      </c>
    </row>
    <row r="38" ht="22.5" customHeight="1">
      <c r="B38" s="86"/>
      <c r="E38" s="78">
        <v>2.0</v>
      </c>
      <c r="F38" s="87">
        <f t="shared" ref="F38:F56" si="13">F37*(1+$G$34)</f>
        <v>10709.013</v>
      </c>
      <c r="G38" s="88">
        <f t="shared" si="9"/>
        <v>1070.9013</v>
      </c>
      <c r="H38" s="87">
        <f t="shared" ref="H38:I38" si="10">F38/6</f>
        <v>1784.8355</v>
      </c>
      <c r="I38" s="87">
        <f t="shared" si="10"/>
        <v>178.48355</v>
      </c>
      <c r="J38" s="87">
        <f t="shared" si="11"/>
        <v>9638.1117</v>
      </c>
      <c r="K38" s="87">
        <f t="shared" ref="K38:L38" si="12">K37+F38</f>
        <v>21106.113</v>
      </c>
      <c r="L38" s="91">
        <f t="shared" si="12"/>
        <v>2102110.611</v>
      </c>
      <c r="M38" s="87">
        <f t="shared" ref="M38:M46" si="16">M37+J38</f>
        <v>-2081004.498</v>
      </c>
      <c r="N38" s="90" t="str">
        <f>J38+'On-grid System sizing calculato'!$L$17</f>
        <v>#DIV/0!</v>
      </c>
      <c r="O38" s="87">
        <f>O37-G38+'On-grid System sizing calculato'!I17+$S$38</f>
        <v>-1630142.531</v>
      </c>
      <c r="Q38" s="92" t="s">
        <v>51</v>
      </c>
      <c r="S38" s="93">
        <f>S37*S36</f>
        <v>155892.24</v>
      </c>
    </row>
    <row r="39" ht="22.5" customHeight="1">
      <c r="B39" s="86"/>
      <c r="E39" s="78">
        <v>3.0</v>
      </c>
      <c r="F39" s="87">
        <f t="shared" si="13"/>
        <v>11030.28339</v>
      </c>
      <c r="G39" s="88">
        <f t="shared" si="9"/>
        <v>1103.028339</v>
      </c>
      <c r="H39" s="87">
        <f t="shared" ref="H39:I39" si="14">F39/6</f>
        <v>1838.380565</v>
      </c>
      <c r="I39" s="87">
        <f t="shared" si="14"/>
        <v>183.8380565</v>
      </c>
      <c r="J39" s="87">
        <f t="shared" si="11"/>
        <v>9927.255051</v>
      </c>
      <c r="K39" s="87">
        <f t="shared" ref="K39:L39" si="15">K38+F39</f>
        <v>32136.39639</v>
      </c>
      <c r="L39" s="91">
        <f t="shared" si="15"/>
        <v>2103213.64</v>
      </c>
      <c r="M39" s="87">
        <f t="shared" si="16"/>
        <v>-2071077.243</v>
      </c>
      <c r="N39" s="90" t="str">
        <f>J39+'On-grid System sizing calculato'!$L$17</f>
        <v>#DIV/0!</v>
      </c>
      <c r="O39" s="87">
        <f>O38-G39+'On-grid System sizing calculato'!I27+$S$38</f>
        <v>-1475353.32</v>
      </c>
      <c r="Q39" s="23" t="s">
        <v>52</v>
      </c>
      <c r="S39" s="93">
        <f>G37</f>
        <v>1039.71</v>
      </c>
    </row>
    <row r="40" ht="22.5" customHeight="1">
      <c r="B40" s="86"/>
      <c r="E40" s="78">
        <v>4.0</v>
      </c>
      <c r="F40" s="87">
        <f t="shared" si="13"/>
        <v>11361.19189</v>
      </c>
      <c r="G40" s="88">
        <f t="shared" si="9"/>
        <v>1136.119189</v>
      </c>
      <c r="H40" s="87">
        <f t="shared" ref="H40:I40" si="17">F40/6</f>
        <v>1893.531982</v>
      </c>
      <c r="I40" s="87">
        <f t="shared" si="17"/>
        <v>189.3531982</v>
      </c>
      <c r="J40" s="87">
        <f t="shared" si="11"/>
        <v>10225.0727</v>
      </c>
      <c r="K40" s="87">
        <f t="shared" ref="K40:L40" si="18">K39+F40</f>
        <v>43497.58828</v>
      </c>
      <c r="L40" s="91">
        <f t="shared" si="18"/>
        <v>2104349.759</v>
      </c>
      <c r="M40" s="87">
        <f t="shared" si="16"/>
        <v>-2060852.171</v>
      </c>
      <c r="N40" s="90" t="str">
        <f>J40+'On-grid System sizing calculato'!$L$17</f>
        <v>#DIV/0!</v>
      </c>
      <c r="O40" s="90" t="str">
        <f t="shared" ref="O40:O49" si="21">O39-G40+#REF!+$S$38</f>
        <v>#REF!</v>
      </c>
      <c r="S40" s="5"/>
    </row>
    <row r="41" ht="22.5" customHeight="1">
      <c r="B41" s="86"/>
      <c r="E41" s="78">
        <v>5.0</v>
      </c>
      <c r="F41" s="87">
        <f t="shared" si="13"/>
        <v>11702.02765</v>
      </c>
      <c r="G41" s="88">
        <f t="shared" si="9"/>
        <v>1170.202765</v>
      </c>
      <c r="H41" s="87">
        <f t="shared" ref="H41:I41" si="19">F41/6</f>
        <v>1950.337941</v>
      </c>
      <c r="I41" s="87">
        <f t="shared" si="19"/>
        <v>195.0337941</v>
      </c>
      <c r="J41" s="87">
        <f t="shared" si="11"/>
        <v>10531.82488</v>
      </c>
      <c r="K41" s="87">
        <f t="shared" ref="K41:L41" si="20">K40+F41</f>
        <v>55199.61593</v>
      </c>
      <c r="L41" s="91">
        <f t="shared" si="20"/>
        <v>2105519.962</v>
      </c>
      <c r="M41" s="87">
        <f t="shared" si="16"/>
        <v>-2050320.346</v>
      </c>
      <c r="N41" s="90" t="str">
        <f>J41+'On-grid System sizing calculato'!$L$17</f>
        <v>#DIV/0!</v>
      </c>
      <c r="O41" s="90" t="str">
        <f t="shared" si="21"/>
        <v>#REF!</v>
      </c>
      <c r="S41" s="5"/>
    </row>
    <row r="42" ht="22.5" customHeight="1">
      <c r="B42" s="86"/>
      <c r="E42" s="78">
        <v>6.0</v>
      </c>
      <c r="F42" s="87">
        <f t="shared" si="13"/>
        <v>12053.08848</v>
      </c>
      <c r="G42" s="88">
        <f t="shared" si="9"/>
        <v>1205.308848</v>
      </c>
      <c r="H42" s="87">
        <f t="shared" ref="H42:I42" si="22">F42/6</f>
        <v>2008.84808</v>
      </c>
      <c r="I42" s="87">
        <f t="shared" si="22"/>
        <v>200.884808</v>
      </c>
      <c r="J42" s="87">
        <f t="shared" si="11"/>
        <v>10847.77963</v>
      </c>
      <c r="K42" s="87">
        <f t="shared" ref="K42:L42" si="23">K41+F42</f>
        <v>67252.70441</v>
      </c>
      <c r="L42" s="91">
        <f t="shared" si="23"/>
        <v>2106725.27</v>
      </c>
      <c r="M42" s="87">
        <f t="shared" si="16"/>
        <v>-2039472.566</v>
      </c>
      <c r="N42" s="90" t="str">
        <f>J42+'On-grid System sizing calculato'!$L$17</f>
        <v>#DIV/0!</v>
      </c>
      <c r="O42" s="90" t="str">
        <f t="shared" si="21"/>
        <v>#REF!</v>
      </c>
      <c r="S42" s="5"/>
    </row>
    <row r="43" ht="22.5" customHeight="1">
      <c r="B43" s="86"/>
      <c r="E43" s="78">
        <v>7.0</v>
      </c>
      <c r="F43" s="87">
        <f t="shared" si="13"/>
        <v>12414.68113</v>
      </c>
      <c r="G43" s="88">
        <f t="shared" si="9"/>
        <v>1241.468113</v>
      </c>
      <c r="H43" s="87">
        <f t="shared" ref="H43:I43" si="24">F43/6</f>
        <v>2069.113522</v>
      </c>
      <c r="I43" s="87">
        <f t="shared" si="24"/>
        <v>206.9113522</v>
      </c>
      <c r="J43" s="87">
        <f t="shared" si="11"/>
        <v>11173.21302</v>
      </c>
      <c r="K43" s="87">
        <f t="shared" ref="K43:L43" si="25">K42+F43</f>
        <v>79667.38554</v>
      </c>
      <c r="L43" s="91">
        <f t="shared" si="25"/>
        <v>2107966.739</v>
      </c>
      <c r="M43" s="87">
        <f t="shared" si="16"/>
        <v>-2028299.353</v>
      </c>
      <c r="N43" s="90" t="str">
        <f>J43+'On-grid System sizing calculato'!$L$17</f>
        <v>#DIV/0!</v>
      </c>
      <c r="O43" s="90" t="str">
        <f t="shared" si="21"/>
        <v>#REF!</v>
      </c>
      <c r="S43" s="5"/>
    </row>
    <row r="44" ht="22.5" customHeight="1">
      <c r="B44" s="86"/>
      <c r="E44" s="78">
        <v>8.0</v>
      </c>
      <c r="F44" s="87">
        <f t="shared" si="13"/>
        <v>12787.12157</v>
      </c>
      <c r="G44" s="88">
        <f t="shared" si="9"/>
        <v>1278.712157</v>
      </c>
      <c r="H44" s="87">
        <f t="shared" ref="H44:I44" si="26">F44/6</f>
        <v>2131.186928</v>
      </c>
      <c r="I44" s="87">
        <f t="shared" si="26"/>
        <v>213.1186928</v>
      </c>
      <c r="J44" s="87">
        <f t="shared" si="11"/>
        <v>11508.40941</v>
      </c>
      <c r="K44" s="87">
        <f t="shared" ref="K44:L44" si="27">K43+F44</f>
        <v>92454.50711</v>
      </c>
      <c r="L44" s="91">
        <f t="shared" si="27"/>
        <v>2109245.451</v>
      </c>
      <c r="M44" s="87">
        <f t="shared" si="16"/>
        <v>-2016790.944</v>
      </c>
      <c r="N44" s="90" t="str">
        <f>J44+'On-grid System sizing calculato'!$L$17</f>
        <v>#DIV/0!</v>
      </c>
      <c r="O44" s="90" t="str">
        <f t="shared" si="21"/>
        <v>#REF!</v>
      </c>
      <c r="S44" s="5"/>
    </row>
    <row r="45" ht="22.5" customHeight="1">
      <c r="B45" s="86"/>
      <c r="E45" s="78">
        <v>9.0</v>
      </c>
      <c r="F45" s="87">
        <f t="shared" si="13"/>
        <v>13170.73521</v>
      </c>
      <c r="G45" s="88">
        <f t="shared" si="9"/>
        <v>1317.073521</v>
      </c>
      <c r="H45" s="87">
        <f t="shared" ref="H45:I45" si="28">F45/6</f>
        <v>2195.122536</v>
      </c>
      <c r="I45" s="87">
        <f t="shared" si="28"/>
        <v>219.5122536</v>
      </c>
      <c r="J45" s="87">
        <f t="shared" si="11"/>
        <v>11853.66169</v>
      </c>
      <c r="K45" s="87">
        <f t="shared" ref="K45:L45" si="29">K44+F45</f>
        <v>105625.2423</v>
      </c>
      <c r="L45" s="91">
        <f t="shared" si="29"/>
        <v>2110562.524</v>
      </c>
      <c r="M45" s="87">
        <f t="shared" si="16"/>
        <v>-2004937.282</v>
      </c>
      <c r="N45" s="90" t="str">
        <f>J45+'On-grid System sizing calculato'!$L$17</f>
        <v>#DIV/0!</v>
      </c>
      <c r="O45" s="90" t="str">
        <f t="shared" si="21"/>
        <v>#REF!</v>
      </c>
      <c r="S45" s="5"/>
    </row>
    <row r="46" ht="22.5" customHeight="1">
      <c r="B46" s="57"/>
      <c r="E46" s="78">
        <v>10.0</v>
      </c>
      <c r="F46" s="87">
        <f t="shared" si="13"/>
        <v>13565.85727</v>
      </c>
      <c r="G46" s="88">
        <f t="shared" si="9"/>
        <v>1356.585727</v>
      </c>
      <c r="H46" s="87">
        <f t="shared" ref="H46:I46" si="30">F46/6</f>
        <v>2260.976212</v>
      </c>
      <c r="I46" s="87">
        <f t="shared" si="30"/>
        <v>226.0976212</v>
      </c>
      <c r="J46" s="87">
        <f t="shared" si="11"/>
        <v>12209.27154</v>
      </c>
      <c r="K46" s="87">
        <f t="shared" ref="K46:L46" si="31">K45+F46</f>
        <v>119191.0996</v>
      </c>
      <c r="L46" s="91">
        <f t="shared" si="31"/>
        <v>2111919.11</v>
      </c>
      <c r="M46" s="87">
        <f t="shared" si="16"/>
        <v>-1992728.01</v>
      </c>
      <c r="N46" s="90" t="str">
        <f>J46+'On-grid System sizing calculato'!$L$17</f>
        <v>#DIV/0!</v>
      </c>
      <c r="O46" s="90" t="str">
        <f t="shared" si="21"/>
        <v>#REF!</v>
      </c>
      <c r="S46" s="5"/>
    </row>
    <row r="47" ht="22.5" customHeight="1">
      <c r="B47" s="57"/>
      <c r="E47" s="78">
        <v>11.0</v>
      </c>
      <c r="F47" s="87">
        <f t="shared" si="13"/>
        <v>13972.83299</v>
      </c>
      <c r="G47" s="88">
        <f t="shared" si="9"/>
        <v>1397.283299</v>
      </c>
      <c r="H47" s="87">
        <f t="shared" ref="H47:I47" si="32">F47/6</f>
        <v>2328.805498</v>
      </c>
      <c r="I47" s="87">
        <f t="shared" si="32"/>
        <v>232.8805498</v>
      </c>
      <c r="J47" s="87">
        <f t="shared" si="11"/>
        <v>12575.54969</v>
      </c>
      <c r="K47" s="87">
        <f t="shared" ref="K47:K56" si="34">K46+F47</f>
        <v>133163.9326</v>
      </c>
      <c r="L47" s="91">
        <f>L46+G47+C17</f>
        <v>2168116.313</v>
      </c>
      <c r="M47" s="87">
        <f>M46+J47-C17</f>
        <v>-2034952.381</v>
      </c>
      <c r="N47" s="90" t="str">
        <f>J47+'On-grid System sizing calculato'!$L$17</f>
        <v>#DIV/0!</v>
      </c>
      <c r="O47" s="90" t="str">
        <f t="shared" si="21"/>
        <v>#REF!</v>
      </c>
      <c r="S47" s="5"/>
    </row>
    <row r="48" ht="22.5" customHeight="1">
      <c r="B48" s="57"/>
      <c r="E48" s="78">
        <v>12.0</v>
      </c>
      <c r="F48" s="87">
        <f t="shared" si="13"/>
        <v>14392.01798</v>
      </c>
      <c r="G48" s="88">
        <f t="shared" si="9"/>
        <v>1439.201798</v>
      </c>
      <c r="H48" s="87">
        <f t="shared" ref="H48:I48" si="33">F48/6</f>
        <v>2398.669663</v>
      </c>
      <c r="I48" s="87">
        <f t="shared" si="33"/>
        <v>239.8669663</v>
      </c>
      <c r="J48" s="87">
        <f t="shared" si="11"/>
        <v>12952.81618</v>
      </c>
      <c r="K48" s="87">
        <f t="shared" si="34"/>
        <v>147555.9506</v>
      </c>
      <c r="L48" s="91">
        <f t="shared" ref="L48:L56" si="36">L47+G48</f>
        <v>2169555.515</v>
      </c>
      <c r="M48" s="87">
        <f t="shared" ref="M48:M56" si="37">M47+J48</f>
        <v>-2021999.565</v>
      </c>
      <c r="N48" s="90" t="str">
        <f>J48+'On-grid System sizing calculato'!$L$17</f>
        <v>#DIV/0!</v>
      </c>
      <c r="O48" s="90" t="str">
        <f t="shared" si="21"/>
        <v>#REF!</v>
      </c>
      <c r="S48" s="5"/>
    </row>
    <row r="49" ht="22.5" customHeight="1">
      <c r="B49" s="57"/>
      <c r="E49" s="78">
        <v>13.0</v>
      </c>
      <c r="F49" s="87">
        <f t="shared" si="13"/>
        <v>14823.77852</v>
      </c>
      <c r="G49" s="88">
        <f t="shared" si="9"/>
        <v>1482.377852</v>
      </c>
      <c r="H49" s="87">
        <f t="shared" ref="H49:I49" si="35">F49/6</f>
        <v>2470.629753</v>
      </c>
      <c r="I49" s="87">
        <f t="shared" si="35"/>
        <v>247.0629753</v>
      </c>
      <c r="J49" s="87">
        <f t="shared" si="11"/>
        <v>13341.40066</v>
      </c>
      <c r="K49" s="87">
        <f t="shared" si="34"/>
        <v>162379.7291</v>
      </c>
      <c r="L49" s="91">
        <f t="shared" si="36"/>
        <v>2171037.893</v>
      </c>
      <c r="M49" s="87">
        <f t="shared" si="37"/>
        <v>-2008658.164</v>
      </c>
      <c r="N49" s="90" t="str">
        <f>J49+'On-grid System sizing calculato'!$L$17</f>
        <v>#DIV/0!</v>
      </c>
      <c r="O49" s="90" t="str">
        <f t="shared" si="21"/>
        <v>#REF!</v>
      </c>
      <c r="S49" s="5"/>
    </row>
    <row r="50" ht="22.5" customHeight="1">
      <c r="B50" s="57"/>
      <c r="E50" s="78">
        <v>14.0</v>
      </c>
      <c r="F50" s="87">
        <f t="shared" si="13"/>
        <v>15268.49187</v>
      </c>
      <c r="G50" s="88">
        <f t="shared" si="9"/>
        <v>1526.849187</v>
      </c>
      <c r="H50" s="87">
        <f t="shared" ref="H50:I50" si="38">F50/6</f>
        <v>2544.748645</v>
      </c>
      <c r="I50" s="87">
        <f t="shared" si="38"/>
        <v>254.4748645</v>
      </c>
      <c r="J50" s="87">
        <f t="shared" si="11"/>
        <v>13741.64268</v>
      </c>
      <c r="K50" s="87">
        <f t="shared" si="34"/>
        <v>177648.2209</v>
      </c>
      <c r="L50" s="91">
        <f t="shared" si="36"/>
        <v>2172564.742</v>
      </c>
      <c r="M50" s="87">
        <f t="shared" si="37"/>
        <v>-1994916.521</v>
      </c>
      <c r="N50" s="90" t="str">
        <f>J50+'On-grid System sizing calculato'!$L$17</f>
        <v>#DIV/0!</v>
      </c>
      <c r="O50" s="90" t="str">
        <f>O49-G50+'On-grid System sizing calculato'!I34+$S$38</f>
        <v>#REF!</v>
      </c>
      <c r="S50" s="5"/>
    </row>
    <row r="51" ht="22.5" customHeight="1">
      <c r="B51" s="57"/>
      <c r="E51" s="78">
        <v>15.0</v>
      </c>
      <c r="F51" s="87">
        <f t="shared" si="13"/>
        <v>15726.54663</v>
      </c>
      <c r="G51" s="88">
        <f t="shared" si="9"/>
        <v>1572.654663</v>
      </c>
      <c r="H51" s="87">
        <f t="shared" ref="H51:I51" si="39">F51/6</f>
        <v>2621.091105</v>
      </c>
      <c r="I51" s="87">
        <f t="shared" si="39"/>
        <v>262.1091105</v>
      </c>
      <c r="J51" s="87">
        <f t="shared" si="11"/>
        <v>14153.89197</v>
      </c>
      <c r="K51" s="87">
        <f t="shared" si="34"/>
        <v>193374.7676</v>
      </c>
      <c r="L51" s="91">
        <f t="shared" si="36"/>
        <v>2174137.397</v>
      </c>
      <c r="M51" s="87">
        <f t="shared" si="37"/>
        <v>-1980762.629</v>
      </c>
      <c r="N51" s="90" t="str">
        <f>J51+'On-grid System sizing calculato'!$L$17</f>
        <v>#DIV/0!</v>
      </c>
      <c r="O51" s="90" t="str">
        <f>O50-G51+'On-grid System sizing calculato'!I35+$S$38</f>
        <v>#REF!</v>
      </c>
      <c r="S51" s="5"/>
    </row>
    <row r="52" ht="22.5" customHeight="1">
      <c r="B52" s="57"/>
      <c r="E52" s="78">
        <v>16.0</v>
      </c>
      <c r="F52" s="87">
        <f t="shared" si="13"/>
        <v>16198.34303</v>
      </c>
      <c r="G52" s="88">
        <f t="shared" si="9"/>
        <v>1619.834303</v>
      </c>
      <c r="H52" s="87">
        <f t="shared" ref="H52:I52" si="40">F52/6</f>
        <v>2699.723838</v>
      </c>
      <c r="I52" s="87">
        <f t="shared" si="40"/>
        <v>269.9723838</v>
      </c>
      <c r="J52" s="87">
        <f t="shared" si="11"/>
        <v>14578.50872</v>
      </c>
      <c r="K52" s="87">
        <f t="shared" si="34"/>
        <v>209573.1106</v>
      </c>
      <c r="L52" s="91">
        <f t="shared" si="36"/>
        <v>2175757.231</v>
      </c>
      <c r="M52" s="87">
        <f t="shared" si="37"/>
        <v>-1966184.12</v>
      </c>
      <c r="N52" s="90" t="str">
        <f>J52+'On-grid System sizing calculato'!$L$17</f>
        <v>#DIV/0!</v>
      </c>
      <c r="O52" s="90" t="str">
        <f>O51-G52+'On-grid System sizing calculato'!I36+$S$38</f>
        <v>#REF!</v>
      </c>
      <c r="S52" s="5"/>
    </row>
    <row r="53" ht="22.5" customHeight="1">
      <c r="B53" s="57"/>
      <c r="E53" s="78">
        <v>17.0</v>
      </c>
      <c r="F53" s="87">
        <f t="shared" si="13"/>
        <v>16684.29332</v>
      </c>
      <c r="G53" s="88">
        <f t="shared" si="9"/>
        <v>1668.429332</v>
      </c>
      <c r="H53" s="87">
        <f t="shared" ref="H53:I53" si="41">F53/6</f>
        <v>2780.715553</v>
      </c>
      <c r="I53" s="87">
        <f t="shared" si="41"/>
        <v>278.0715553</v>
      </c>
      <c r="J53" s="87">
        <f t="shared" si="11"/>
        <v>15015.86399</v>
      </c>
      <c r="K53" s="87">
        <f t="shared" si="34"/>
        <v>226257.4039</v>
      </c>
      <c r="L53" s="91">
        <f t="shared" si="36"/>
        <v>2177425.66</v>
      </c>
      <c r="M53" s="87">
        <f t="shared" si="37"/>
        <v>-1951168.256</v>
      </c>
      <c r="N53" s="90" t="str">
        <f>J53+'On-grid System sizing calculato'!$L$17</f>
        <v>#DIV/0!</v>
      </c>
      <c r="O53" s="90" t="str">
        <f>O52-G53+'On-grid System sizing calculato'!I37+$S$38</f>
        <v>#REF!</v>
      </c>
      <c r="S53" s="5"/>
    </row>
    <row r="54" ht="22.5" customHeight="1">
      <c r="B54" s="57"/>
      <c r="E54" s="78">
        <v>18.0</v>
      </c>
      <c r="F54" s="87">
        <f t="shared" si="13"/>
        <v>17184.82212</v>
      </c>
      <c r="G54" s="88">
        <f t="shared" si="9"/>
        <v>1718.482212</v>
      </c>
      <c r="H54" s="87">
        <f t="shared" ref="H54:I54" si="42">F54/6</f>
        <v>2864.13702</v>
      </c>
      <c r="I54" s="87">
        <f t="shared" si="42"/>
        <v>286.413702</v>
      </c>
      <c r="J54" s="87">
        <f t="shared" si="11"/>
        <v>15466.33991</v>
      </c>
      <c r="K54" s="87">
        <f t="shared" si="34"/>
        <v>243442.226</v>
      </c>
      <c r="L54" s="91">
        <f t="shared" si="36"/>
        <v>2179144.143</v>
      </c>
      <c r="M54" s="87">
        <f t="shared" si="37"/>
        <v>-1935701.917</v>
      </c>
      <c r="N54" s="90" t="str">
        <f>J54+'On-grid System sizing calculato'!$L$17</f>
        <v>#DIV/0!</v>
      </c>
      <c r="O54" s="90" t="str">
        <f>O53-G54+'On-grid System sizing calculato'!I38+$S$38</f>
        <v>#REF!</v>
      </c>
      <c r="S54" s="5"/>
    </row>
    <row r="55" ht="22.5" customHeight="1">
      <c r="B55" s="57"/>
      <c r="E55" s="78">
        <v>19.0</v>
      </c>
      <c r="F55" s="87">
        <f t="shared" si="13"/>
        <v>17700.36678</v>
      </c>
      <c r="G55" s="88">
        <f t="shared" si="9"/>
        <v>1770.036678</v>
      </c>
      <c r="H55" s="87">
        <f t="shared" ref="H55:I55" si="43">F55/6</f>
        <v>2950.06113</v>
      </c>
      <c r="I55" s="87">
        <f t="shared" si="43"/>
        <v>295.006113</v>
      </c>
      <c r="J55" s="87">
        <f t="shared" si="11"/>
        <v>15930.3301</v>
      </c>
      <c r="K55" s="87">
        <f t="shared" si="34"/>
        <v>261142.5928</v>
      </c>
      <c r="L55" s="91">
        <f t="shared" si="36"/>
        <v>2180914.179</v>
      </c>
      <c r="M55" s="87">
        <f t="shared" si="37"/>
        <v>-1919771.586</v>
      </c>
      <c r="N55" s="90" t="str">
        <f>J55+'On-grid System sizing calculato'!$L$17</f>
        <v>#DIV/0!</v>
      </c>
      <c r="O55" s="90" t="str">
        <f>O54-G55+'On-grid System sizing calculato'!I39+$S$38</f>
        <v>#REF!</v>
      </c>
      <c r="S55" s="5"/>
    </row>
    <row r="56" ht="22.5" customHeight="1">
      <c r="B56" s="57"/>
      <c r="E56" s="78">
        <v>20.0</v>
      </c>
      <c r="F56" s="87">
        <f t="shared" si="13"/>
        <v>18231.37778</v>
      </c>
      <c r="G56" s="88">
        <f t="shared" si="9"/>
        <v>1823.137778</v>
      </c>
      <c r="H56" s="87">
        <f t="shared" ref="H56:I56" si="44">F56/6</f>
        <v>3038.562964</v>
      </c>
      <c r="I56" s="87">
        <f t="shared" si="44"/>
        <v>303.8562964</v>
      </c>
      <c r="J56" s="87">
        <f t="shared" si="11"/>
        <v>16408.24001</v>
      </c>
      <c r="K56" s="87">
        <f t="shared" si="34"/>
        <v>279373.9706</v>
      </c>
      <c r="L56" s="91">
        <f t="shared" si="36"/>
        <v>2182737.317</v>
      </c>
      <c r="M56" s="87">
        <f t="shared" si="37"/>
        <v>-1903363.346</v>
      </c>
      <c r="N56" s="90" t="str">
        <f>J56+'On-grid System sizing calculato'!$L$17</f>
        <v>#DIV/0!</v>
      </c>
      <c r="O56" s="90" t="str">
        <f>O55-G56+'On-grid System sizing calculato'!I40+$S$38</f>
        <v>#REF!</v>
      </c>
      <c r="S56" s="5"/>
    </row>
    <row r="57" ht="22.5" customHeight="1">
      <c r="B57" s="57"/>
      <c r="E57" s="94" t="s">
        <v>53</v>
      </c>
      <c r="F57" s="95">
        <f>SUM(Table6_2[Yearly Bill without solar (with tarif increase)])</f>
        <v>279373.9706</v>
      </c>
      <c r="G57" s="95">
        <f>SUM(G37:G51)</f>
        <v>19337.47676</v>
      </c>
      <c r="H57" s="96"/>
      <c r="I57" s="96"/>
      <c r="J57" s="95">
        <f>SUM(Table6_2[Yearly savings ])</f>
        <v>251436.5735</v>
      </c>
      <c r="K57" s="97">
        <f>(K56/K56)</f>
        <v>1</v>
      </c>
      <c r="L57" s="97">
        <f>(L56/K56)</f>
        <v>7.812958782</v>
      </c>
      <c r="M57" s="98"/>
      <c r="S57" s="5"/>
    </row>
    <row r="58">
      <c r="B58" s="57"/>
      <c r="R58" s="5"/>
    </row>
    <row r="59">
      <c r="B59" s="57"/>
      <c r="R59" s="5"/>
    </row>
    <row r="60">
      <c r="B60" s="57"/>
      <c r="F60" s="45"/>
      <c r="R60" s="5"/>
    </row>
    <row r="61">
      <c r="B61" s="99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1"/>
    </row>
    <row r="82">
      <c r="C82" s="23" t="s">
        <v>54</v>
      </c>
      <c r="H82" s="23"/>
      <c r="I82" s="23" t="s">
        <v>55</v>
      </c>
    </row>
    <row r="103">
      <c r="C103" s="23" t="s">
        <v>56</v>
      </c>
    </row>
  </sheetData>
  <mergeCells count="6">
    <mergeCell ref="H5:I5"/>
    <mergeCell ref="N5:O5"/>
    <mergeCell ref="T5:U5"/>
    <mergeCell ref="H30:I30"/>
    <mergeCell ref="F31:G31"/>
    <mergeCell ref="H31:I31"/>
  </mergeCells>
  <dataValidations>
    <dataValidation type="custom" allowBlank="1" showDropDown="1" sqref="F37:G56 J37:L56">
      <formula1>AND(ISNUMBER(F37),(NOT(OR(NOT(ISERROR(DATEVALUE(F37))), AND(ISNUMBER(F37), LEFT(CELL("format", F37))="D")))))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9.88"/>
    <col customWidth="1" min="12" max="12" width="11.13"/>
    <col customWidth="1" min="13" max="13" width="15.13"/>
    <col customWidth="1" min="14" max="14" width="11.38"/>
    <col customWidth="1" min="19" max="19" width="13.75"/>
  </cols>
  <sheetData>
    <row r="1">
      <c r="B1" s="23" t="s">
        <v>57</v>
      </c>
      <c r="C1" s="23">
        <v>25000.0</v>
      </c>
      <c r="Q1" s="23" t="s">
        <v>57</v>
      </c>
      <c r="R1" s="23">
        <v>15000.0</v>
      </c>
    </row>
    <row r="2">
      <c r="B2" s="102" t="s">
        <v>58</v>
      </c>
      <c r="C2" s="103"/>
      <c r="D2" s="102" t="s">
        <v>59</v>
      </c>
      <c r="E2" s="102" t="s">
        <v>60</v>
      </c>
      <c r="F2" s="102" t="s">
        <v>61</v>
      </c>
      <c r="G2" s="102" t="s">
        <v>62</v>
      </c>
      <c r="H2" s="102" t="s">
        <v>63</v>
      </c>
      <c r="I2" s="102" t="s">
        <v>64</v>
      </c>
      <c r="J2" s="102" t="s">
        <v>65</v>
      </c>
      <c r="K2" s="102" t="s">
        <v>66</v>
      </c>
      <c r="M2" s="126"/>
      <c r="N2" s="126"/>
      <c r="Q2" s="102" t="s">
        <v>58</v>
      </c>
      <c r="R2" s="103"/>
      <c r="S2" s="102" t="s">
        <v>59</v>
      </c>
      <c r="T2" s="102" t="s">
        <v>60</v>
      </c>
      <c r="U2" s="102" t="s">
        <v>61</v>
      </c>
      <c r="V2" s="102" t="s">
        <v>62</v>
      </c>
      <c r="W2" s="102" t="s">
        <v>63</v>
      </c>
      <c r="X2" s="102" t="s">
        <v>64</v>
      </c>
      <c r="Y2" s="102" t="s">
        <v>65</v>
      </c>
      <c r="Z2" s="102" t="s">
        <v>66</v>
      </c>
      <c r="AB2" s="126"/>
      <c r="AC2" s="126"/>
      <c r="AD2" s="126"/>
    </row>
    <row r="3">
      <c r="A3" s="23" t="s">
        <v>232</v>
      </c>
      <c r="B3" s="104" t="s">
        <v>233</v>
      </c>
      <c r="C3" s="109">
        <v>560.0</v>
      </c>
      <c r="D3" s="105">
        <v>42.0</v>
      </c>
      <c r="E3" s="43" t="s">
        <v>71</v>
      </c>
      <c r="F3" s="104">
        <v>16.0</v>
      </c>
      <c r="G3" s="106">
        <f>D3*F3*C3</f>
        <v>376320</v>
      </c>
      <c r="H3" s="106">
        <f t="shared" ref="H3:H6" si="1">G3*0.2</f>
        <v>75264</v>
      </c>
      <c r="I3" s="39">
        <f t="shared" ref="I3:I17" si="2">G3+H3</f>
        <v>451584</v>
      </c>
      <c r="J3" s="37">
        <v>0.05</v>
      </c>
      <c r="K3" s="48">
        <f t="shared" ref="K3:K5" si="3">I3*1.05</f>
        <v>474163.2</v>
      </c>
      <c r="L3" s="107">
        <f>K3/K18</f>
        <v>0.3166175461</v>
      </c>
      <c r="M3" s="48"/>
      <c r="N3" s="216"/>
      <c r="P3" s="23" t="s">
        <v>232</v>
      </c>
      <c r="Q3" s="104" t="s">
        <v>233</v>
      </c>
      <c r="R3" s="109">
        <v>560.0</v>
      </c>
      <c r="S3" s="105">
        <v>30.0</v>
      </c>
      <c r="T3" s="43" t="s">
        <v>71</v>
      </c>
      <c r="U3" s="104">
        <v>16.5</v>
      </c>
      <c r="V3" s="106">
        <f>S3*U3*R3</f>
        <v>277200</v>
      </c>
      <c r="W3" s="106">
        <f>V3*0.2</f>
        <v>55440</v>
      </c>
      <c r="X3" s="39">
        <f t="shared" ref="X3:X17" si="4">V3+W3</f>
        <v>332640</v>
      </c>
      <c r="Y3" s="37">
        <v>0.05</v>
      </c>
      <c r="Z3" s="48">
        <f t="shared" ref="Z3:Z5" si="5">X3*1.05</f>
        <v>349272</v>
      </c>
      <c r="AA3" s="107">
        <f>Z3/Z18</f>
        <v>0.1655545678</v>
      </c>
      <c r="AB3" s="48"/>
      <c r="AC3" s="216"/>
      <c r="AD3" s="216"/>
    </row>
    <row r="4">
      <c r="A4" s="23" t="s">
        <v>234</v>
      </c>
      <c r="B4" s="104" t="s">
        <v>75</v>
      </c>
      <c r="C4" s="109" t="s">
        <v>235</v>
      </c>
      <c r="D4" s="104">
        <v>1.0</v>
      </c>
      <c r="E4" s="43" t="s">
        <v>71</v>
      </c>
      <c r="F4" s="104">
        <v>69766.0</v>
      </c>
      <c r="G4" s="110">
        <f t="shared" ref="G4:G5" si="6">D4*F4</f>
        <v>69766</v>
      </c>
      <c r="H4" s="106">
        <f t="shared" si="1"/>
        <v>13953.2</v>
      </c>
      <c r="I4" s="39">
        <f t="shared" si="2"/>
        <v>83719.2</v>
      </c>
      <c r="J4" s="37">
        <v>0.05</v>
      </c>
      <c r="K4" s="48">
        <f t="shared" si="3"/>
        <v>87905.16</v>
      </c>
      <c r="L4" s="107">
        <f t="shared" ref="L4:L17" si="7">K4/$K$18</f>
        <v>0.05869775649</v>
      </c>
      <c r="N4" s="45"/>
      <c r="P4" s="23" t="s">
        <v>234</v>
      </c>
      <c r="Q4" s="104" t="s">
        <v>75</v>
      </c>
      <c r="R4" s="109" t="s">
        <v>235</v>
      </c>
      <c r="S4" s="104">
        <v>1.0</v>
      </c>
      <c r="T4" s="43" t="s">
        <v>71</v>
      </c>
      <c r="U4" s="104">
        <v>69766.0</v>
      </c>
      <c r="V4" s="110">
        <f t="shared" ref="V4:V5" si="8">S4*U4</f>
        <v>69766</v>
      </c>
      <c r="W4" s="106">
        <f t="shared" ref="W4:W5" si="9">V4*0.3</f>
        <v>20929.8</v>
      </c>
      <c r="X4" s="39">
        <f t="shared" si="4"/>
        <v>90695.8</v>
      </c>
      <c r="Y4" s="37">
        <v>0.05</v>
      </c>
      <c r="Z4" s="48">
        <f t="shared" si="5"/>
        <v>95230.59</v>
      </c>
      <c r="AA4" s="107">
        <f t="shared" ref="AA4:AA17" si="10">Z4/$K$18</f>
        <v>0.0635892362</v>
      </c>
      <c r="AC4" s="45"/>
      <c r="AD4" s="45"/>
    </row>
    <row r="5">
      <c r="A5" s="23" t="s">
        <v>74</v>
      </c>
      <c r="B5" s="104" t="s">
        <v>236</v>
      </c>
      <c r="C5" s="109" t="s">
        <v>237</v>
      </c>
      <c r="D5" s="104">
        <v>1.0</v>
      </c>
      <c r="E5" s="43" t="s">
        <v>71</v>
      </c>
      <c r="F5" s="104">
        <v>265846.0</v>
      </c>
      <c r="G5" s="110">
        <f t="shared" si="6"/>
        <v>265846</v>
      </c>
      <c r="H5" s="106">
        <f t="shared" si="1"/>
        <v>53169.2</v>
      </c>
      <c r="I5" s="39">
        <f t="shared" si="2"/>
        <v>319015.2</v>
      </c>
      <c r="J5" s="37">
        <v>0.05</v>
      </c>
      <c r="K5" s="48">
        <f t="shared" si="3"/>
        <v>334965.96</v>
      </c>
      <c r="L5" s="107">
        <f t="shared" si="7"/>
        <v>0.2236700366</v>
      </c>
      <c r="P5" s="23" t="s">
        <v>74</v>
      </c>
      <c r="Q5" s="104" t="s">
        <v>236</v>
      </c>
      <c r="R5" s="109" t="s">
        <v>237</v>
      </c>
      <c r="S5" s="104">
        <v>1.0</v>
      </c>
      <c r="T5" s="43" t="s">
        <v>71</v>
      </c>
      <c r="U5" s="104">
        <v>204488.0</v>
      </c>
      <c r="V5" s="110">
        <f t="shared" si="8"/>
        <v>204488</v>
      </c>
      <c r="W5" s="106">
        <f t="shared" si="9"/>
        <v>61346.4</v>
      </c>
      <c r="X5" s="39">
        <f t="shared" si="4"/>
        <v>265834.4</v>
      </c>
      <c r="Y5" s="37">
        <v>0.05</v>
      </c>
      <c r="Z5" s="48">
        <f t="shared" si="5"/>
        <v>279126.12</v>
      </c>
      <c r="AA5" s="107">
        <f t="shared" si="10"/>
        <v>0.1863835641</v>
      </c>
    </row>
    <row r="6">
      <c r="A6" s="23" t="s">
        <v>74</v>
      </c>
      <c r="B6" s="104" t="s">
        <v>238</v>
      </c>
      <c r="C6" s="109" t="s">
        <v>239</v>
      </c>
      <c r="D6" s="109">
        <v>1.0</v>
      </c>
      <c r="E6" s="43" t="s">
        <v>71</v>
      </c>
      <c r="F6" s="104">
        <v>203597.0</v>
      </c>
      <c r="G6" s="110">
        <f t="shared" ref="G6:G9" si="11">F6*D6</f>
        <v>203597</v>
      </c>
      <c r="H6" s="106">
        <f t="shared" si="1"/>
        <v>40719.4</v>
      </c>
      <c r="I6" s="39">
        <f t="shared" si="2"/>
        <v>244316.4</v>
      </c>
      <c r="J6" s="37">
        <v>0.18</v>
      </c>
      <c r="K6" s="48">
        <f t="shared" ref="K6:K17" si="12">I6*1.18</f>
        <v>288293.352</v>
      </c>
      <c r="L6" s="107">
        <f t="shared" si="7"/>
        <v>0.1925048879</v>
      </c>
      <c r="P6" s="23" t="s">
        <v>74</v>
      </c>
      <c r="Q6" s="104" t="s">
        <v>238</v>
      </c>
      <c r="R6" s="109" t="s">
        <v>240</v>
      </c>
      <c r="S6" s="109">
        <v>4.0</v>
      </c>
      <c r="T6" s="43" t="s">
        <v>71</v>
      </c>
      <c r="U6" s="104">
        <v>200391.0</v>
      </c>
      <c r="V6" s="110">
        <f t="shared" ref="V6:V9" si="13">U6*S6</f>
        <v>801564</v>
      </c>
      <c r="W6" s="106">
        <f>V6*0.2</f>
        <v>160312.8</v>
      </c>
      <c r="X6" s="39">
        <f t="shared" si="4"/>
        <v>961876.8</v>
      </c>
      <c r="Y6" s="37">
        <v>0.18</v>
      </c>
      <c r="Z6" s="48">
        <f t="shared" ref="Z6:Z17" si="14">X6*1.18</f>
        <v>1135014.624</v>
      </c>
      <c r="AA6" s="107">
        <f t="shared" si="10"/>
        <v>0.7578942125</v>
      </c>
    </row>
    <row r="7">
      <c r="A7" s="23" t="s">
        <v>241</v>
      </c>
      <c r="B7" s="104" t="s">
        <v>77</v>
      </c>
      <c r="C7" s="109"/>
      <c r="D7" s="109">
        <v>1.0</v>
      </c>
      <c r="E7" s="43" t="s">
        <v>71</v>
      </c>
      <c r="F7" s="104">
        <v>10200.0</v>
      </c>
      <c r="G7" s="110">
        <f t="shared" si="11"/>
        <v>10200</v>
      </c>
      <c r="H7" s="106">
        <f t="shared" ref="H7:H9" si="15">G7*0.3</f>
        <v>3060</v>
      </c>
      <c r="I7" s="39">
        <f t="shared" si="2"/>
        <v>13260</v>
      </c>
      <c r="J7" s="37">
        <v>0.18</v>
      </c>
      <c r="K7" s="48">
        <f t="shared" si="12"/>
        <v>15646.8</v>
      </c>
      <c r="L7" s="107">
        <f t="shared" si="7"/>
        <v>0.01044798799</v>
      </c>
      <c r="P7" s="23" t="s">
        <v>241</v>
      </c>
      <c r="Q7" s="104" t="s">
        <v>77</v>
      </c>
      <c r="R7" s="109"/>
      <c r="S7" s="109">
        <v>1.0</v>
      </c>
      <c r="T7" s="43" t="s">
        <v>71</v>
      </c>
      <c r="U7" s="104">
        <v>10200.0</v>
      </c>
      <c r="V7" s="110">
        <f t="shared" si="13"/>
        <v>10200</v>
      </c>
      <c r="W7" s="106">
        <f t="shared" ref="W7:W9" si="16">V7*0.3</f>
        <v>3060</v>
      </c>
      <c r="X7" s="39">
        <f t="shared" si="4"/>
        <v>13260</v>
      </c>
      <c r="Y7" s="37">
        <v>0.18</v>
      </c>
      <c r="Z7" s="48">
        <f t="shared" si="14"/>
        <v>15646.8</v>
      </c>
      <c r="AA7" s="107">
        <f t="shared" si="10"/>
        <v>0.01044798799</v>
      </c>
    </row>
    <row r="8">
      <c r="A8" s="23" t="s">
        <v>241</v>
      </c>
      <c r="B8" s="104" t="s">
        <v>78</v>
      </c>
      <c r="C8" s="109"/>
      <c r="D8" s="109">
        <v>1.0</v>
      </c>
      <c r="E8" s="43" t="s">
        <v>71</v>
      </c>
      <c r="F8" s="104">
        <v>4500.0</v>
      </c>
      <c r="G8" s="110">
        <f t="shared" si="11"/>
        <v>4500</v>
      </c>
      <c r="H8" s="106">
        <f t="shared" si="15"/>
        <v>1350</v>
      </c>
      <c r="I8" s="39">
        <f t="shared" si="2"/>
        <v>5850</v>
      </c>
      <c r="J8" s="37">
        <v>0.18</v>
      </c>
      <c r="K8" s="48">
        <f t="shared" si="12"/>
        <v>6903</v>
      </c>
      <c r="L8" s="107">
        <f t="shared" si="7"/>
        <v>0.004609406468</v>
      </c>
      <c r="P8" s="23" t="s">
        <v>241</v>
      </c>
      <c r="Q8" s="104" t="s">
        <v>78</v>
      </c>
      <c r="R8" s="109"/>
      <c r="S8" s="109">
        <v>1.0</v>
      </c>
      <c r="T8" s="43" t="s">
        <v>71</v>
      </c>
      <c r="U8" s="104">
        <v>14300.0</v>
      </c>
      <c r="V8" s="110">
        <f t="shared" si="13"/>
        <v>14300</v>
      </c>
      <c r="W8" s="106">
        <f t="shared" si="16"/>
        <v>4290</v>
      </c>
      <c r="X8" s="39">
        <f t="shared" si="4"/>
        <v>18590</v>
      </c>
      <c r="Y8" s="37">
        <v>0.18</v>
      </c>
      <c r="Z8" s="48">
        <f t="shared" si="14"/>
        <v>21936.2</v>
      </c>
      <c r="AA8" s="107">
        <f t="shared" si="10"/>
        <v>0.01464766944</v>
      </c>
    </row>
    <row r="9">
      <c r="B9" s="104" t="s">
        <v>242</v>
      </c>
      <c r="C9" s="109"/>
      <c r="D9" s="109">
        <v>1.0</v>
      </c>
      <c r="E9" s="109"/>
      <c r="F9" s="104">
        <v>10000.0</v>
      </c>
      <c r="G9" s="110">
        <f t="shared" si="11"/>
        <v>10000</v>
      </c>
      <c r="H9" s="106">
        <f t="shared" si="15"/>
        <v>3000</v>
      </c>
      <c r="I9" s="39">
        <f t="shared" si="2"/>
        <v>13000</v>
      </c>
      <c r="J9" s="37">
        <v>0.18</v>
      </c>
      <c r="K9" s="48">
        <f t="shared" si="12"/>
        <v>15340</v>
      </c>
      <c r="L9" s="107">
        <f t="shared" si="7"/>
        <v>0.01024312548</v>
      </c>
      <c r="Q9" s="104" t="s">
        <v>242</v>
      </c>
      <c r="R9" s="109"/>
      <c r="S9" s="109">
        <v>1.0</v>
      </c>
      <c r="T9" s="109"/>
      <c r="U9" s="104">
        <v>7700.0</v>
      </c>
      <c r="V9" s="110">
        <f t="shared" si="13"/>
        <v>7700</v>
      </c>
      <c r="W9" s="106">
        <f t="shared" si="16"/>
        <v>2310</v>
      </c>
      <c r="X9" s="39">
        <f t="shared" si="4"/>
        <v>10010</v>
      </c>
      <c r="Y9" s="37">
        <v>0.18</v>
      </c>
      <c r="Z9" s="48">
        <f t="shared" si="14"/>
        <v>11811.8</v>
      </c>
      <c r="AA9" s="107">
        <f t="shared" si="10"/>
        <v>0.007887206623</v>
      </c>
    </row>
    <row r="10">
      <c r="B10" s="104" t="s">
        <v>79</v>
      </c>
      <c r="C10" s="109"/>
      <c r="D10" s="109" t="s">
        <v>80</v>
      </c>
      <c r="E10" s="109" t="s">
        <v>80</v>
      </c>
      <c r="F10" s="104">
        <v>4000.0</v>
      </c>
      <c r="G10" s="110">
        <f>F10*(C1/1000)</f>
        <v>100000</v>
      </c>
      <c r="H10" s="106">
        <f>G10*0.25</f>
        <v>25000</v>
      </c>
      <c r="I10" s="39">
        <f t="shared" si="2"/>
        <v>125000</v>
      </c>
      <c r="J10" s="37">
        <v>0.18</v>
      </c>
      <c r="K10" s="48">
        <f t="shared" si="12"/>
        <v>147500</v>
      </c>
      <c r="L10" s="107">
        <f t="shared" si="7"/>
        <v>0.0984915912</v>
      </c>
      <c r="Q10" s="104" t="s">
        <v>79</v>
      </c>
      <c r="R10" s="109"/>
      <c r="S10" s="109" t="s">
        <v>80</v>
      </c>
      <c r="T10" s="109" t="s">
        <v>80</v>
      </c>
      <c r="U10" s="104">
        <v>4000.0</v>
      </c>
      <c r="V10" s="110">
        <f>U10*(R1/1000)</f>
        <v>60000</v>
      </c>
      <c r="W10" s="106">
        <f>V10*0.25</f>
        <v>15000</v>
      </c>
      <c r="X10" s="39">
        <f t="shared" si="4"/>
        <v>75000</v>
      </c>
      <c r="Y10" s="37">
        <v>0.18</v>
      </c>
      <c r="Z10" s="48">
        <f t="shared" si="14"/>
        <v>88500</v>
      </c>
      <c r="AA10" s="107">
        <f t="shared" si="10"/>
        <v>0.05909495472</v>
      </c>
    </row>
    <row r="11">
      <c r="B11" s="104" t="s">
        <v>81</v>
      </c>
      <c r="C11" s="109" t="s">
        <v>82</v>
      </c>
      <c r="D11" s="109">
        <v>3.0</v>
      </c>
      <c r="E11" s="43" t="s">
        <v>71</v>
      </c>
      <c r="F11" s="104">
        <v>2457.0</v>
      </c>
      <c r="G11" s="110">
        <f>F11</f>
        <v>2457</v>
      </c>
      <c r="H11" s="106">
        <f>G11*0.2</f>
        <v>491.4</v>
      </c>
      <c r="I11" s="39">
        <f t="shared" si="2"/>
        <v>2948.4</v>
      </c>
      <c r="J11" s="37">
        <v>0.18</v>
      </c>
      <c r="K11" s="48">
        <f t="shared" si="12"/>
        <v>3479.112</v>
      </c>
      <c r="L11" s="107">
        <f t="shared" si="7"/>
        <v>0.00232314086</v>
      </c>
      <c r="Q11" s="104" t="s">
        <v>81</v>
      </c>
      <c r="R11" s="109" t="s">
        <v>82</v>
      </c>
      <c r="S11" s="109">
        <v>3.0</v>
      </c>
      <c r="T11" s="43" t="s">
        <v>71</v>
      </c>
      <c r="U11" s="104">
        <v>2457.0</v>
      </c>
      <c r="V11" s="110">
        <f>U11</f>
        <v>2457</v>
      </c>
      <c r="W11" s="106">
        <f>V11*0.2</f>
        <v>491.4</v>
      </c>
      <c r="X11" s="39">
        <f t="shared" si="4"/>
        <v>2948.4</v>
      </c>
      <c r="Y11" s="37">
        <v>0.18</v>
      </c>
      <c r="Z11" s="48">
        <f t="shared" si="14"/>
        <v>3479.112</v>
      </c>
      <c r="AA11" s="107">
        <f t="shared" si="10"/>
        <v>0.00232314086</v>
      </c>
    </row>
    <row r="12">
      <c r="B12" s="104" t="s">
        <v>83</v>
      </c>
      <c r="C12" s="109" t="s">
        <v>84</v>
      </c>
      <c r="D12" s="109">
        <v>1.0</v>
      </c>
      <c r="E12" s="43" t="s">
        <v>71</v>
      </c>
      <c r="F12" s="111"/>
      <c r="G12" s="110">
        <v>0.0</v>
      </c>
      <c r="H12" s="106">
        <f>G12*0.15</f>
        <v>0</v>
      </c>
      <c r="I12" s="39">
        <f t="shared" si="2"/>
        <v>0</v>
      </c>
      <c r="J12" s="37">
        <v>0.18</v>
      </c>
      <c r="K12" s="48">
        <f t="shared" si="12"/>
        <v>0</v>
      </c>
      <c r="L12" s="107">
        <f t="shared" si="7"/>
        <v>0</v>
      </c>
      <c r="Q12" s="104" t="s">
        <v>83</v>
      </c>
      <c r="R12" s="109" t="s">
        <v>84</v>
      </c>
      <c r="S12" s="109">
        <v>1.0</v>
      </c>
      <c r="T12" s="43" t="s">
        <v>71</v>
      </c>
      <c r="U12" s="111"/>
      <c r="V12" s="110">
        <v>0.0</v>
      </c>
      <c r="W12" s="106">
        <f>V12*0.15</f>
        <v>0</v>
      </c>
      <c r="X12" s="39">
        <f t="shared" si="4"/>
        <v>0</v>
      </c>
      <c r="Y12" s="37">
        <v>0.18</v>
      </c>
      <c r="Z12" s="48">
        <f t="shared" si="14"/>
        <v>0</v>
      </c>
      <c r="AA12" s="107">
        <f t="shared" si="10"/>
        <v>0</v>
      </c>
    </row>
    <row r="13">
      <c r="B13" s="104" t="s">
        <v>85</v>
      </c>
      <c r="C13" s="109"/>
      <c r="D13" s="109">
        <v>41.0</v>
      </c>
      <c r="E13" s="43" t="s">
        <v>71</v>
      </c>
      <c r="F13" s="104">
        <v>42.0</v>
      </c>
      <c r="G13" s="106">
        <f>D13*F13</f>
        <v>1722</v>
      </c>
      <c r="H13" s="106">
        <f>G13*0.2</f>
        <v>344.4</v>
      </c>
      <c r="I13" s="39">
        <f t="shared" si="2"/>
        <v>2066.4</v>
      </c>
      <c r="J13" s="37">
        <v>0.18</v>
      </c>
      <c r="K13" s="48">
        <f t="shared" si="12"/>
        <v>2438.352</v>
      </c>
      <c r="L13" s="107">
        <f t="shared" si="7"/>
        <v>0.001628184192</v>
      </c>
      <c r="Q13" s="104" t="s">
        <v>85</v>
      </c>
      <c r="R13" s="109"/>
      <c r="S13" s="109">
        <v>33.0</v>
      </c>
      <c r="T13" s="43" t="s">
        <v>71</v>
      </c>
      <c r="U13" s="104">
        <v>42.0</v>
      </c>
      <c r="V13" s="106">
        <f>S13*U13</f>
        <v>1386</v>
      </c>
      <c r="W13" s="106">
        <f>V13*0.2</f>
        <v>277.2</v>
      </c>
      <c r="X13" s="39">
        <f t="shared" si="4"/>
        <v>1663.2</v>
      </c>
      <c r="Y13" s="37">
        <v>0.18</v>
      </c>
      <c r="Z13" s="48">
        <f t="shared" si="14"/>
        <v>1962.576</v>
      </c>
      <c r="AA13" s="107">
        <f t="shared" si="10"/>
        <v>0.001310489716</v>
      </c>
    </row>
    <row r="14">
      <c r="B14" s="104" t="s">
        <v>86</v>
      </c>
      <c r="C14" s="109"/>
      <c r="D14" s="109" t="s">
        <v>80</v>
      </c>
      <c r="E14" s="109" t="s">
        <v>80</v>
      </c>
      <c r="F14" s="111"/>
      <c r="G14" s="110">
        <v>5000.0</v>
      </c>
      <c r="H14" s="106">
        <f>G14*0.4</f>
        <v>2000</v>
      </c>
      <c r="I14" s="39">
        <f t="shared" si="2"/>
        <v>7000</v>
      </c>
      <c r="J14" s="37">
        <v>0.18</v>
      </c>
      <c r="K14" s="48">
        <f t="shared" si="12"/>
        <v>8260</v>
      </c>
      <c r="L14" s="107">
        <f t="shared" si="7"/>
        <v>0.005515529107</v>
      </c>
      <c r="Q14" s="104" t="s">
        <v>86</v>
      </c>
      <c r="R14" s="109"/>
      <c r="S14" s="109" t="s">
        <v>80</v>
      </c>
      <c r="T14" s="109" t="s">
        <v>80</v>
      </c>
      <c r="U14" s="111"/>
      <c r="V14" s="110">
        <v>5000.0</v>
      </c>
      <c r="W14" s="106">
        <f>V14*0.4</f>
        <v>2000</v>
      </c>
      <c r="X14" s="39">
        <f t="shared" si="4"/>
        <v>7000</v>
      </c>
      <c r="Y14" s="37">
        <v>0.18</v>
      </c>
      <c r="Z14" s="48">
        <f t="shared" si="14"/>
        <v>8260</v>
      </c>
      <c r="AA14" s="107">
        <f t="shared" si="10"/>
        <v>0.005515529107</v>
      </c>
    </row>
    <row r="15">
      <c r="B15" s="104" t="s">
        <v>87</v>
      </c>
      <c r="C15" s="112"/>
      <c r="D15" s="109" t="s">
        <v>80</v>
      </c>
      <c r="E15" s="109" t="s">
        <v>80</v>
      </c>
      <c r="F15" s="104">
        <v>4000.0</v>
      </c>
      <c r="G15" s="110">
        <f>F15*(C1/1000)</f>
        <v>100000</v>
      </c>
      <c r="H15" s="106">
        <f>G15*0.2</f>
        <v>20000</v>
      </c>
      <c r="I15" s="39">
        <f t="shared" si="2"/>
        <v>120000</v>
      </c>
      <c r="J15" s="37">
        <v>0.18</v>
      </c>
      <c r="K15" s="48">
        <f t="shared" si="12"/>
        <v>141600</v>
      </c>
      <c r="L15" s="107">
        <f t="shared" si="7"/>
        <v>0.09455192755</v>
      </c>
      <c r="Q15" s="104" t="s">
        <v>87</v>
      </c>
      <c r="R15" s="112"/>
      <c r="S15" s="109" t="s">
        <v>80</v>
      </c>
      <c r="T15" s="109" t="s">
        <v>80</v>
      </c>
      <c r="U15" s="104">
        <v>5000.0</v>
      </c>
      <c r="V15" s="110">
        <f>U15*(R1/1000)</f>
        <v>75000</v>
      </c>
      <c r="W15" s="106">
        <f>V15*0.2</f>
        <v>15000</v>
      </c>
      <c r="X15" s="39">
        <f t="shared" si="4"/>
        <v>90000</v>
      </c>
      <c r="Y15" s="37">
        <v>0.18</v>
      </c>
      <c r="Z15" s="48">
        <f t="shared" si="14"/>
        <v>106200</v>
      </c>
      <c r="AA15" s="107">
        <f t="shared" si="10"/>
        <v>0.07091394566</v>
      </c>
    </row>
    <row r="16">
      <c r="A16" s="23" t="s">
        <v>88</v>
      </c>
      <c r="B16" s="23" t="s">
        <v>89</v>
      </c>
      <c r="C16" s="44"/>
      <c r="D16" s="23">
        <v>1.0</v>
      </c>
      <c r="E16" s="43" t="s">
        <v>71</v>
      </c>
      <c r="F16" s="23">
        <v>0.0</v>
      </c>
      <c r="G16" s="113">
        <f>F16*D16</f>
        <v>0</v>
      </c>
      <c r="H16" s="114">
        <f t="shared" ref="H16:H17" si="17">G16*0</f>
        <v>0</v>
      </c>
      <c r="I16" s="115">
        <f t="shared" si="2"/>
        <v>0</v>
      </c>
      <c r="J16" s="37">
        <v>0.18</v>
      </c>
      <c r="K16" s="48">
        <f t="shared" si="12"/>
        <v>0</v>
      </c>
      <c r="L16" s="107">
        <f t="shared" si="7"/>
        <v>0</v>
      </c>
      <c r="P16" s="23" t="s">
        <v>88</v>
      </c>
      <c r="Q16" s="23" t="s">
        <v>89</v>
      </c>
      <c r="R16" s="44"/>
      <c r="S16" s="23">
        <v>1.0</v>
      </c>
      <c r="T16" s="43" t="s">
        <v>71</v>
      </c>
      <c r="U16" s="23">
        <v>25000.0</v>
      </c>
      <c r="V16" s="113">
        <f>U16*S16</f>
        <v>25000</v>
      </c>
      <c r="W16" s="114">
        <f t="shared" ref="W16:W17" si="18">V16*0</f>
        <v>0</v>
      </c>
      <c r="X16" s="115">
        <f t="shared" si="4"/>
        <v>25000</v>
      </c>
      <c r="Y16" s="37">
        <v>0.18</v>
      </c>
      <c r="Z16" s="48">
        <f t="shared" si="14"/>
        <v>29500</v>
      </c>
      <c r="AA16" s="107">
        <f t="shared" si="10"/>
        <v>0.01969831824</v>
      </c>
    </row>
    <row r="17">
      <c r="B17" s="23" t="s">
        <v>90</v>
      </c>
      <c r="C17" s="44"/>
      <c r="F17" s="23">
        <v>50000.0</v>
      </c>
      <c r="G17" s="114">
        <f>F17</f>
        <v>50000</v>
      </c>
      <c r="H17" s="114">
        <f t="shared" si="17"/>
        <v>0</v>
      </c>
      <c r="I17" s="115">
        <f t="shared" si="2"/>
        <v>50000</v>
      </c>
      <c r="J17" s="37">
        <v>0.18</v>
      </c>
      <c r="K17" s="48">
        <f t="shared" si="12"/>
        <v>59000</v>
      </c>
      <c r="L17" s="107">
        <f t="shared" si="7"/>
        <v>0.03939663648</v>
      </c>
      <c r="Q17" s="23" t="s">
        <v>90</v>
      </c>
      <c r="R17" s="44"/>
      <c r="U17" s="23">
        <v>50000.0</v>
      </c>
      <c r="V17" s="114">
        <f>U17</f>
        <v>50000</v>
      </c>
      <c r="W17" s="114">
        <f t="shared" si="18"/>
        <v>0</v>
      </c>
      <c r="X17" s="115">
        <f t="shared" si="4"/>
        <v>50000</v>
      </c>
      <c r="Y17" s="37">
        <v>0.18</v>
      </c>
      <c r="Z17" s="48">
        <f t="shared" si="14"/>
        <v>59000</v>
      </c>
      <c r="AA17" s="107">
        <f t="shared" si="10"/>
        <v>0.03939663648</v>
      </c>
    </row>
    <row r="18">
      <c r="C18" s="44"/>
      <c r="G18" s="144">
        <f t="shared" ref="G18:H18" si="19">SUM(G3,G5:G17)</f>
        <v>1129642</v>
      </c>
      <c r="H18" s="217">
        <f t="shared" si="19"/>
        <v>224398.4</v>
      </c>
      <c r="I18" s="40">
        <f>SUM(I3:I17)</f>
        <v>1437759.6</v>
      </c>
      <c r="J18" s="218"/>
      <c r="K18" s="119">
        <f>SUM(K3,K5:K17)</f>
        <v>1497589.776</v>
      </c>
      <c r="L18" s="218">
        <f t="shared" ref="L18:L19" si="22">H18/K18</f>
        <v>0.1498396982</v>
      </c>
      <c r="M18" s="40" t="str">
        <f>(K18/C1)&amp;" / kW)"</f>
        <v>59.90359104 / kW)</v>
      </c>
      <c r="N18" s="219" t="s">
        <v>243</v>
      </c>
      <c r="O18" s="45">
        <f>K18/(Energy_Usage_kWh_3[[#TOTALS],[(2025-2026) Bill]]*0.9)</f>
        <v>3.973597462</v>
      </c>
      <c r="R18" s="44"/>
      <c r="V18" s="144">
        <f t="shared" ref="V18:W18" si="20">SUM(V3,V5:V17)</f>
        <v>1534295</v>
      </c>
      <c r="W18" s="217">
        <f t="shared" si="20"/>
        <v>319527.8</v>
      </c>
      <c r="X18" s="40">
        <f>SUM(X3:X17)</f>
        <v>1944518.6</v>
      </c>
      <c r="Y18" s="218"/>
      <c r="Z18" s="119">
        <f>SUM(Z3,Z5:Z17)</f>
        <v>2109709.232</v>
      </c>
      <c r="AA18" s="218">
        <f t="shared" ref="AA18:AA19" si="23">W18/Z18</f>
        <v>0.1514558476</v>
      </c>
      <c r="AB18" s="40" t="str">
        <f>(Z18/R1)&amp;" / kW)"</f>
        <v>140.647282133333 / kW)</v>
      </c>
      <c r="AC18" s="219" t="s">
        <v>243</v>
      </c>
      <c r="AD18" s="220">
        <f>Z18/(Table7[[#TOTALS],[(2025-2026) Bill]]*0.9)</f>
        <v>7.439930965</v>
      </c>
    </row>
    <row r="19">
      <c r="B19" s="41" t="s">
        <v>94</v>
      </c>
      <c r="F19" s="48"/>
      <c r="G19" s="221">
        <f t="shared" ref="G19:H19" si="21">sum(G3,G4,G7,G8,G10:G17)</f>
        <v>719965</v>
      </c>
      <c r="H19" s="221">
        <f t="shared" si="21"/>
        <v>141463</v>
      </c>
      <c r="I19" s="222"/>
      <c r="J19" s="222"/>
      <c r="K19" s="121">
        <f>sum(K3,K4,K7,K8,K10:K17)</f>
        <v>946895.624</v>
      </c>
      <c r="L19" s="223">
        <f t="shared" si="22"/>
        <v>0.149396614</v>
      </c>
      <c r="M19" s="122" t="str">
        <f>(K19/C1)&amp;" / kW)"</f>
        <v>37.87582496 / kW)</v>
      </c>
      <c r="N19" s="224" t="s">
        <v>244</v>
      </c>
      <c r="O19" s="45">
        <f>K19/(Energy_Usage_kWh_3[[#TOTALS],[(2025-2026) Bill]]*0.65)</f>
        <v>3.478742358</v>
      </c>
      <c r="Q19" s="41" t="s">
        <v>94</v>
      </c>
      <c r="U19" s="48"/>
      <c r="V19" s="222"/>
      <c r="W19" s="221">
        <f>sum(W3,W4,W7,W8,W10:W17)</f>
        <v>116488.4</v>
      </c>
      <c r="X19" s="222"/>
      <c r="Y19" s="222"/>
      <c r="Z19" s="121">
        <f>sum(Z3,Z4,Z7,Z8,Z10:Z17)</f>
        <v>778987.278</v>
      </c>
      <c r="AA19" s="223">
        <f t="shared" si="23"/>
        <v>0.1495382573</v>
      </c>
      <c r="AB19" s="122" t="str">
        <f>(Z19/R1)&amp;" / kW)"</f>
        <v>51.9324852 / kW)</v>
      </c>
      <c r="AC19" s="224" t="s">
        <v>244</v>
      </c>
      <c r="AD19" s="225">
        <f>Z18/(Table7[[#TOTALS],[(2025-2026) Bill]]*0.3)</f>
        <v>22.31979289</v>
      </c>
    </row>
    <row r="20">
      <c r="B20" s="23" t="s">
        <v>98</v>
      </c>
      <c r="C20" s="23" t="s">
        <v>99</v>
      </c>
    </row>
    <row r="21">
      <c r="B21" s="23" t="s">
        <v>100</v>
      </c>
      <c r="C21" s="23" t="s">
        <v>101</v>
      </c>
      <c r="E21" s="23"/>
    </row>
    <row r="22">
      <c r="B22" s="23" t="s">
        <v>102</v>
      </c>
      <c r="C22" s="125" t="s">
        <v>103</v>
      </c>
    </row>
    <row r="23">
      <c r="B23" s="23" t="s">
        <v>105</v>
      </c>
      <c r="C23" s="23" t="s">
        <v>106</v>
      </c>
      <c r="E23" s="23" t="s">
        <v>107</v>
      </c>
    </row>
    <row r="24">
      <c r="B24" s="23"/>
      <c r="C24" s="23" t="s">
        <v>108</v>
      </c>
      <c r="E24" s="23" t="s">
        <v>109</v>
      </c>
    </row>
    <row r="25">
      <c r="B25" s="23"/>
      <c r="C25" s="23" t="s">
        <v>110</v>
      </c>
      <c r="E25" s="23" t="s">
        <v>111</v>
      </c>
    </row>
    <row r="26">
      <c r="B26" s="23"/>
      <c r="C26" s="23" t="s">
        <v>112</v>
      </c>
      <c r="E26" s="23" t="s">
        <v>113</v>
      </c>
    </row>
    <row r="30">
      <c r="B30" s="127" t="s">
        <v>115</v>
      </c>
    </row>
    <row r="32">
      <c r="C32" s="128" t="s">
        <v>245</v>
      </c>
    </row>
    <row r="37">
      <c r="H37" s="115">
        <f>2899/1.18</f>
        <v>2456.779661</v>
      </c>
    </row>
    <row r="39">
      <c r="B39" s="23" t="s">
        <v>117</v>
      </c>
      <c r="F39" s="23" t="s">
        <v>118</v>
      </c>
    </row>
    <row r="40">
      <c r="B40" s="23" t="s">
        <v>119</v>
      </c>
    </row>
    <row r="41">
      <c r="B41" s="23" t="s">
        <v>120</v>
      </c>
    </row>
    <row r="44">
      <c r="B44" s="129" t="s">
        <v>58</v>
      </c>
      <c r="C44" s="129" t="s">
        <v>121</v>
      </c>
      <c r="D44" s="129" t="s">
        <v>64</v>
      </c>
      <c r="E44" s="129" t="s">
        <v>65</v>
      </c>
      <c r="F44" s="129" t="s">
        <v>66</v>
      </c>
    </row>
    <row r="45">
      <c r="B45" s="104" t="s">
        <v>122</v>
      </c>
      <c r="C45" s="109" t="s">
        <v>123</v>
      </c>
      <c r="D45" s="48">
        <v>142065.0</v>
      </c>
      <c r="E45" s="37">
        <v>0.05</v>
      </c>
      <c r="F45" s="115">
        <v>149168.25</v>
      </c>
    </row>
    <row r="46">
      <c r="B46" s="104" t="s">
        <v>124</v>
      </c>
      <c r="C46" s="109" t="s">
        <v>125</v>
      </c>
      <c r="D46" s="115">
        <v>32830.0</v>
      </c>
      <c r="E46" s="37">
        <v>0.05</v>
      </c>
      <c r="F46" s="115">
        <v>34471.5</v>
      </c>
    </row>
    <row r="47">
      <c r="B47" s="104" t="s">
        <v>77</v>
      </c>
      <c r="C47" s="109" t="s">
        <v>126</v>
      </c>
      <c r="D47" s="115">
        <v>5750.0</v>
      </c>
      <c r="E47" s="37">
        <v>0.18</v>
      </c>
      <c r="F47" s="115">
        <v>6785.0</v>
      </c>
    </row>
    <row r="48">
      <c r="B48" s="104" t="s">
        <v>78</v>
      </c>
      <c r="C48" s="109" t="s">
        <v>126</v>
      </c>
      <c r="D48" s="115">
        <v>12650.0</v>
      </c>
      <c r="E48" s="37">
        <v>0.18</v>
      </c>
      <c r="F48" s="115">
        <v>14927.0</v>
      </c>
    </row>
    <row r="49">
      <c r="B49" s="104" t="s">
        <v>127</v>
      </c>
      <c r="C49" s="109" t="s">
        <v>80</v>
      </c>
      <c r="D49" s="115">
        <v>29610.0</v>
      </c>
      <c r="E49" s="37">
        <v>0.18</v>
      </c>
      <c r="F49" s="115">
        <v>34939.799999999996</v>
      </c>
    </row>
    <row r="50">
      <c r="B50" s="104" t="s">
        <v>81</v>
      </c>
      <c r="C50" s="109" t="s">
        <v>128</v>
      </c>
      <c r="D50" s="115">
        <v>2760.0</v>
      </c>
      <c r="E50" s="37">
        <v>0.18</v>
      </c>
      <c r="F50" s="115">
        <v>3256.7999999999997</v>
      </c>
    </row>
    <row r="51">
      <c r="B51" s="104" t="s">
        <v>83</v>
      </c>
      <c r="C51" s="109" t="s">
        <v>126</v>
      </c>
      <c r="D51" s="115">
        <v>1610.0</v>
      </c>
      <c r="E51" s="37">
        <v>0.18</v>
      </c>
      <c r="F51" s="115">
        <v>1899.8</v>
      </c>
    </row>
    <row r="52">
      <c r="B52" s="104" t="s">
        <v>85</v>
      </c>
      <c r="C52" s="109" t="s">
        <v>129</v>
      </c>
      <c r="D52" s="115">
        <v>345.0</v>
      </c>
      <c r="E52" s="37">
        <v>0.18</v>
      </c>
      <c r="F52" s="115">
        <v>407.09999999999997</v>
      </c>
    </row>
    <row r="53">
      <c r="B53" s="104" t="s">
        <v>86</v>
      </c>
      <c r="C53" s="109" t="s">
        <v>80</v>
      </c>
      <c r="D53" s="115">
        <v>2817.5</v>
      </c>
      <c r="E53" s="37">
        <v>0.18</v>
      </c>
      <c r="F53" s="115">
        <v>3324.6499999999996</v>
      </c>
    </row>
    <row r="54">
      <c r="B54" s="104" t="s">
        <v>130</v>
      </c>
      <c r="C54" s="112"/>
      <c r="D54" s="115">
        <v>30000.0</v>
      </c>
      <c r="E54" s="37">
        <v>0.18</v>
      </c>
      <c r="F54" s="115">
        <v>35400.0</v>
      </c>
    </row>
    <row r="55">
      <c r="D55" s="130" t="s">
        <v>131</v>
      </c>
      <c r="F55" s="131">
        <f>SUM(F45:F54)</f>
        <v>284579.9</v>
      </c>
    </row>
    <row r="57">
      <c r="B57" s="41" t="s">
        <v>132</v>
      </c>
    </row>
    <row r="58">
      <c r="B58" s="23" t="s">
        <v>133</v>
      </c>
      <c r="C58" s="132"/>
    </row>
    <row r="59">
      <c r="B59" s="23" t="s">
        <v>105</v>
      </c>
    </row>
    <row r="60">
      <c r="B60" s="23" t="s">
        <v>134</v>
      </c>
    </row>
    <row r="62">
      <c r="B62" s="41" t="s">
        <v>135</v>
      </c>
      <c r="C62" s="133"/>
      <c r="D62" s="133"/>
      <c r="E62" s="133"/>
      <c r="F62" s="133"/>
    </row>
    <row r="63">
      <c r="B63" s="23" t="s">
        <v>136</v>
      </c>
      <c r="C63" s="133"/>
      <c r="D63" s="133"/>
      <c r="E63" s="133"/>
      <c r="F63" s="133"/>
    </row>
    <row r="64">
      <c r="B64" s="23" t="s">
        <v>137</v>
      </c>
      <c r="C64" s="133"/>
      <c r="D64" s="133"/>
      <c r="E64" s="133"/>
      <c r="F64" s="133"/>
    </row>
    <row r="65">
      <c r="B65" s="23" t="s">
        <v>138</v>
      </c>
      <c r="C65" s="133"/>
      <c r="D65" s="133"/>
      <c r="E65" s="133"/>
      <c r="F65" s="133"/>
    </row>
    <row r="66">
      <c r="B66" s="133"/>
      <c r="C66" s="133"/>
      <c r="D66" s="133"/>
      <c r="E66" s="133"/>
      <c r="F66" s="133"/>
    </row>
    <row r="67">
      <c r="B67" s="133"/>
      <c r="C67" s="133"/>
      <c r="D67" s="133"/>
      <c r="E67" s="133"/>
      <c r="F67" s="133"/>
    </row>
    <row r="68">
      <c r="B68" s="133"/>
      <c r="C68" s="133"/>
      <c r="D68" s="133"/>
      <c r="E68" s="133"/>
      <c r="F68" s="133"/>
    </row>
    <row r="69">
      <c r="B69" s="127" t="s">
        <v>115</v>
      </c>
      <c r="N69" s="127" t="s">
        <v>115</v>
      </c>
      <c r="S69" s="127" t="s">
        <v>115</v>
      </c>
    </row>
    <row r="71">
      <c r="C71" s="128" t="s">
        <v>246</v>
      </c>
      <c r="O71" s="128" t="s">
        <v>247</v>
      </c>
      <c r="T71" s="128" t="s">
        <v>248</v>
      </c>
    </row>
    <row r="73">
      <c r="Y73" s="23" t="s">
        <v>17</v>
      </c>
    </row>
    <row r="78">
      <c r="B78" s="23" t="s">
        <v>117</v>
      </c>
      <c r="F78" s="23" t="s">
        <v>118</v>
      </c>
      <c r="N78" s="23" t="s">
        <v>117</v>
      </c>
      <c r="Q78" s="23" t="s">
        <v>142</v>
      </c>
      <c r="S78" s="23" t="s">
        <v>117</v>
      </c>
      <c r="W78" s="23" t="s">
        <v>142</v>
      </c>
    </row>
    <row r="79">
      <c r="B79" s="23" t="s">
        <v>119</v>
      </c>
      <c r="N79" s="23" t="s">
        <v>119</v>
      </c>
      <c r="S79" s="23" t="s">
        <v>119</v>
      </c>
    </row>
    <row r="80">
      <c r="B80" s="23" t="s">
        <v>120</v>
      </c>
      <c r="N80" s="23" t="s">
        <v>120</v>
      </c>
      <c r="S80" s="23" t="s">
        <v>120</v>
      </c>
    </row>
    <row r="82">
      <c r="S82" s="23" t="s">
        <v>17</v>
      </c>
    </row>
    <row r="83">
      <c r="B83" s="129" t="s">
        <v>58</v>
      </c>
      <c r="C83" s="129" t="s">
        <v>121</v>
      </c>
      <c r="D83" s="129" t="s">
        <v>64</v>
      </c>
      <c r="E83" s="129" t="s">
        <v>65</v>
      </c>
      <c r="F83" s="129" t="s">
        <v>66</v>
      </c>
      <c r="N83" s="129" t="s">
        <v>58</v>
      </c>
      <c r="O83" s="129" t="s">
        <v>121</v>
      </c>
      <c r="P83" s="129" t="s">
        <v>65</v>
      </c>
      <c r="Q83" s="129" t="s">
        <v>66</v>
      </c>
      <c r="S83" s="129" t="s">
        <v>58</v>
      </c>
      <c r="T83" s="129" t="s">
        <v>121</v>
      </c>
      <c r="U83" s="129" t="s">
        <v>64</v>
      </c>
      <c r="V83" s="129" t="s">
        <v>65</v>
      </c>
      <c r="W83" s="129" t="s">
        <v>66</v>
      </c>
    </row>
    <row r="84">
      <c r="B84" s="104" t="s">
        <v>143</v>
      </c>
      <c r="C84" s="109" t="s">
        <v>123</v>
      </c>
      <c r="D84" s="48">
        <v>227304.0</v>
      </c>
      <c r="E84" s="37">
        <v>0.05</v>
      </c>
      <c r="F84" s="115">
        <v>238669.2</v>
      </c>
      <c r="N84" s="104" t="s">
        <v>144</v>
      </c>
      <c r="O84" s="109" t="s">
        <v>123</v>
      </c>
      <c r="P84" s="37">
        <v>0.05</v>
      </c>
      <c r="Q84" s="48">
        <v>47733.840000000004</v>
      </c>
      <c r="S84" s="104" t="s">
        <v>145</v>
      </c>
      <c r="T84" s="109" t="s">
        <v>123</v>
      </c>
      <c r="U84" s="48">
        <v>56826.0</v>
      </c>
      <c r="V84" s="37">
        <v>0.05</v>
      </c>
      <c r="W84" s="48">
        <v>59667.3</v>
      </c>
    </row>
    <row r="85">
      <c r="B85" s="104" t="s">
        <v>146</v>
      </c>
      <c r="C85" s="109" t="s">
        <v>147</v>
      </c>
      <c r="D85" s="115">
        <v>63393.4</v>
      </c>
      <c r="E85" s="37">
        <v>0.05</v>
      </c>
      <c r="F85" s="39">
        <v>66563.07</v>
      </c>
      <c r="N85" s="104" t="s">
        <v>75</v>
      </c>
      <c r="O85" s="109" t="s">
        <v>148</v>
      </c>
      <c r="P85" s="37">
        <v>0.05</v>
      </c>
      <c r="Q85" s="48">
        <v>13312.614000000001</v>
      </c>
      <c r="S85" s="104" t="s">
        <v>75</v>
      </c>
      <c r="T85" s="109" t="s">
        <v>148</v>
      </c>
      <c r="U85" s="115">
        <v>12678.68</v>
      </c>
      <c r="V85" s="37">
        <v>0.05</v>
      </c>
      <c r="W85" s="48">
        <v>13312.614000000001</v>
      </c>
    </row>
    <row r="86">
      <c r="B86" s="104" t="s">
        <v>77</v>
      </c>
      <c r="C86" s="109" t="s">
        <v>126</v>
      </c>
      <c r="D86" s="115">
        <v>10075.0</v>
      </c>
      <c r="E86" s="37">
        <v>0.18</v>
      </c>
      <c r="F86" s="115">
        <v>11888.5</v>
      </c>
      <c r="N86" s="104" t="s">
        <v>77</v>
      </c>
      <c r="O86" s="109" t="s">
        <v>126</v>
      </c>
      <c r="P86" s="37">
        <v>0.18</v>
      </c>
      <c r="Q86" s="48">
        <v>2377.7</v>
      </c>
      <c r="S86" s="104" t="s">
        <v>77</v>
      </c>
      <c r="T86" s="109" t="s">
        <v>126</v>
      </c>
      <c r="U86" s="115">
        <v>2015.0</v>
      </c>
      <c r="V86" s="37">
        <v>0.18</v>
      </c>
      <c r="W86" s="48">
        <v>2377.7</v>
      </c>
    </row>
    <row r="87">
      <c r="B87" s="104" t="s">
        <v>78</v>
      </c>
      <c r="C87" s="109" t="s">
        <v>126</v>
      </c>
      <c r="D87" s="115">
        <v>5525.0</v>
      </c>
      <c r="E87" s="37">
        <v>0.18</v>
      </c>
      <c r="F87" s="115">
        <v>6519.5</v>
      </c>
      <c r="N87" s="104" t="s">
        <v>78</v>
      </c>
      <c r="O87" s="109" t="s">
        <v>126</v>
      </c>
      <c r="P87" s="37">
        <v>0.18</v>
      </c>
      <c r="Q87" s="48">
        <v>1303.8999999999999</v>
      </c>
      <c r="S87" s="104" t="s">
        <v>78</v>
      </c>
      <c r="T87" s="109" t="s">
        <v>126</v>
      </c>
      <c r="U87" s="115">
        <v>1105.0</v>
      </c>
      <c r="V87" s="37">
        <v>0.18</v>
      </c>
      <c r="W87" s="48">
        <v>1303.8999999999999</v>
      </c>
    </row>
    <row r="88">
      <c r="B88" s="104" t="s">
        <v>127</v>
      </c>
      <c r="C88" s="109" t="s">
        <v>80</v>
      </c>
      <c r="D88" s="115">
        <v>105000.0</v>
      </c>
      <c r="E88" s="37">
        <v>0.18</v>
      </c>
      <c r="F88" s="115">
        <v>123900.0</v>
      </c>
      <c r="N88" s="104" t="s">
        <v>127</v>
      </c>
      <c r="O88" s="109" t="s">
        <v>80</v>
      </c>
      <c r="P88" s="37">
        <v>0.18</v>
      </c>
      <c r="Q88" s="48">
        <f>(24780-2983.5)</f>
        <v>21796.5</v>
      </c>
      <c r="S88" s="104" t="s">
        <v>127</v>
      </c>
      <c r="T88" s="109" t="s">
        <v>80</v>
      </c>
      <c r="U88" s="115">
        <v>21000.0</v>
      </c>
      <c r="V88" s="37">
        <v>0.18</v>
      </c>
      <c r="W88" s="48">
        <v>24780.0</v>
      </c>
    </row>
    <row r="89">
      <c r="B89" s="104" t="s">
        <v>81</v>
      </c>
      <c r="C89" s="109" t="s">
        <v>149</v>
      </c>
      <c r="D89" s="115">
        <v>6720.0</v>
      </c>
      <c r="E89" s="37">
        <v>0.18</v>
      </c>
      <c r="F89" s="115">
        <v>7929.599999999999</v>
      </c>
      <c r="N89" s="104" t="s">
        <v>81</v>
      </c>
      <c r="O89" s="109" t="s">
        <v>150</v>
      </c>
      <c r="P89" s="37">
        <v>0.18</v>
      </c>
      <c r="Q89" s="48">
        <v>1585.9199999999998</v>
      </c>
      <c r="S89" s="104" t="s">
        <v>81</v>
      </c>
      <c r="T89" s="109" t="s">
        <v>150</v>
      </c>
      <c r="U89" s="115">
        <v>1344.0</v>
      </c>
      <c r="V89" s="37">
        <v>0.18</v>
      </c>
      <c r="W89" s="48">
        <v>1585.9199999999998</v>
      </c>
    </row>
    <row r="90">
      <c r="B90" s="104" t="s">
        <v>83</v>
      </c>
      <c r="C90" s="109" t="s">
        <v>128</v>
      </c>
      <c r="D90" s="115">
        <v>5880.0</v>
      </c>
      <c r="E90" s="37">
        <v>0.18</v>
      </c>
      <c r="F90" s="115">
        <v>6938.4</v>
      </c>
      <c r="N90" s="104" t="s">
        <v>83</v>
      </c>
      <c r="O90" s="109" t="s">
        <v>126</v>
      </c>
      <c r="P90" s="37">
        <v>0.18</v>
      </c>
      <c r="Q90" s="48">
        <v>1387.6799999999998</v>
      </c>
      <c r="S90" s="104" t="s">
        <v>83</v>
      </c>
      <c r="T90" s="109" t="s">
        <v>126</v>
      </c>
      <c r="U90" s="115">
        <v>1176.0</v>
      </c>
      <c r="V90" s="37">
        <v>0.18</v>
      </c>
      <c r="W90" s="48">
        <v>1387.6799999999998</v>
      </c>
    </row>
    <row r="91">
      <c r="B91" s="104" t="s">
        <v>85</v>
      </c>
      <c r="C91" s="109" t="s">
        <v>151</v>
      </c>
      <c r="D91" s="115">
        <v>900.0</v>
      </c>
      <c r="E91" s="37">
        <v>0.18</v>
      </c>
      <c r="F91" s="115">
        <v>1062.0</v>
      </c>
      <c r="N91" s="104" t="s">
        <v>85</v>
      </c>
      <c r="O91" s="109" t="s">
        <v>128</v>
      </c>
      <c r="P91" s="37">
        <v>0.18</v>
      </c>
      <c r="Q91" s="48">
        <v>212.39999999999998</v>
      </c>
      <c r="S91" s="104" t="s">
        <v>85</v>
      </c>
      <c r="T91" s="109" t="s">
        <v>152</v>
      </c>
      <c r="U91" s="115">
        <v>180.0</v>
      </c>
      <c r="V91" s="37">
        <v>0.18</v>
      </c>
      <c r="W91" s="48">
        <v>212.39999999999998</v>
      </c>
    </row>
    <row r="92">
      <c r="B92" s="104" t="s">
        <v>86</v>
      </c>
      <c r="C92" s="109" t="s">
        <v>80</v>
      </c>
      <c r="D92" s="115">
        <v>8400.0</v>
      </c>
      <c r="E92" s="37">
        <v>0.18</v>
      </c>
      <c r="F92" s="115">
        <v>9912.0</v>
      </c>
      <c r="N92" s="104" t="s">
        <v>86</v>
      </c>
      <c r="O92" s="109" t="s">
        <v>80</v>
      </c>
      <c r="P92" s="37">
        <v>0.18</v>
      </c>
      <c r="Q92" s="48">
        <v>1982.3999999999999</v>
      </c>
      <c r="S92" s="104" t="s">
        <v>86</v>
      </c>
      <c r="T92" s="109" t="s">
        <v>80</v>
      </c>
      <c r="U92" s="115">
        <v>1680.0</v>
      </c>
      <c r="V92" s="37">
        <v>0.18</v>
      </c>
      <c r="W92" s="48">
        <v>1982.3999999999999</v>
      </c>
    </row>
    <row r="93">
      <c r="B93" s="104" t="s">
        <v>130</v>
      </c>
      <c r="C93" s="109" t="s">
        <v>80</v>
      </c>
      <c r="D93" s="115">
        <v>65000.0</v>
      </c>
      <c r="E93" s="37">
        <v>0.18</v>
      </c>
      <c r="F93" s="115">
        <v>76700.0</v>
      </c>
      <c r="N93" s="104" t="s">
        <v>130</v>
      </c>
      <c r="O93" s="109" t="s">
        <v>80</v>
      </c>
      <c r="P93" s="37">
        <v>0.18</v>
      </c>
      <c r="Q93" s="48">
        <v>15340.0</v>
      </c>
      <c r="S93" s="104" t="s">
        <v>130</v>
      </c>
      <c r="T93" s="109" t="s">
        <v>80</v>
      </c>
      <c r="U93" s="115">
        <v>13000.0</v>
      </c>
      <c r="V93" s="37">
        <v>0.18</v>
      </c>
      <c r="W93" s="48">
        <v>15340.0</v>
      </c>
    </row>
    <row r="94">
      <c r="B94" s="134" t="s">
        <v>131</v>
      </c>
      <c r="F94" s="131">
        <f>SUM(F84:F93)</f>
        <v>550082.27</v>
      </c>
      <c r="N94" s="134" t="s">
        <v>131</v>
      </c>
      <c r="Q94" s="131">
        <f>SUM(Q84:Q93)</f>
        <v>107032.954</v>
      </c>
      <c r="S94" s="134" t="s">
        <v>131</v>
      </c>
      <c r="W94" s="131">
        <f>SUM(W84:W93)</f>
        <v>121949.914</v>
      </c>
    </row>
    <row r="96">
      <c r="B96" s="41" t="s">
        <v>132</v>
      </c>
      <c r="N96" s="41" t="s">
        <v>132</v>
      </c>
      <c r="S96" s="41" t="s">
        <v>132</v>
      </c>
    </row>
    <row r="97">
      <c r="B97" s="23" t="s">
        <v>133</v>
      </c>
      <c r="C97" s="132"/>
      <c r="N97" s="23" t="s">
        <v>133</v>
      </c>
      <c r="O97" s="132"/>
      <c r="S97" s="23" t="s">
        <v>133</v>
      </c>
      <c r="T97" s="132"/>
    </row>
    <row r="98">
      <c r="B98" s="23" t="s">
        <v>105</v>
      </c>
      <c r="N98" s="23" t="s">
        <v>105</v>
      </c>
      <c r="O98" s="132"/>
      <c r="S98" s="23" t="s">
        <v>105</v>
      </c>
      <c r="T98" s="132"/>
    </row>
    <row r="99">
      <c r="B99" s="23" t="s">
        <v>134</v>
      </c>
      <c r="N99" s="23" t="s">
        <v>134</v>
      </c>
      <c r="O99" s="132"/>
      <c r="S99" s="23" t="s">
        <v>134</v>
      </c>
      <c r="T99" s="132"/>
    </row>
    <row r="101">
      <c r="B101" s="41" t="s">
        <v>135</v>
      </c>
      <c r="N101" s="41" t="s">
        <v>135</v>
      </c>
      <c r="S101" s="41" t="s">
        <v>135</v>
      </c>
    </row>
    <row r="102">
      <c r="B102" s="23" t="s">
        <v>136</v>
      </c>
      <c r="N102" s="23" t="s">
        <v>136</v>
      </c>
      <c r="S102" s="23" t="s">
        <v>136</v>
      </c>
    </row>
    <row r="103">
      <c r="B103" s="23" t="s">
        <v>137</v>
      </c>
      <c r="N103" s="23" t="s">
        <v>137</v>
      </c>
      <c r="S103" s="23" t="s">
        <v>137</v>
      </c>
    </row>
    <row r="104">
      <c r="B104" s="23" t="s">
        <v>138</v>
      </c>
      <c r="N104" s="23" t="s">
        <v>138</v>
      </c>
      <c r="S104" s="23" t="s">
        <v>138</v>
      </c>
    </row>
    <row r="107">
      <c r="B107" s="127" t="s">
        <v>115</v>
      </c>
    </row>
    <row r="109">
      <c r="C109" s="128" t="s">
        <v>249</v>
      </c>
    </row>
    <row r="116">
      <c r="B116" s="23" t="s">
        <v>117</v>
      </c>
      <c r="F116" s="23" t="s">
        <v>154</v>
      </c>
    </row>
    <row r="118">
      <c r="B118" s="23" t="s">
        <v>120</v>
      </c>
    </row>
    <row r="121">
      <c r="B121" s="129" t="s">
        <v>58</v>
      </c>
      <c r="C121" s="129" t="s">
        <v>121</v>
      </c>
      <c r="D121" s="129" t="s">
        <v>64</v>
      </c>
      <c r="E121" s="129" t="s">
        <v>65</v>
      </c>
      <c r="F121" s="129" t="s">
        <v>66</v>
      </c>
    </row>
    <row r="122">
      <c r="B122" s="114" t="s">
        <v>155</v>
      </c>
      <c r="C122" s="114">
        <v>700.0</v>
      </c>
      <c r="D122" s="106">
        <v>196000.0</v>
      </c>
      <c r="E122" s="135">
        <v>0.05</v>
      </c>
      <c r="F122" s="136">
        <v>205800.0</v>
      </c>
      <c r="G122" s="137" t="s">
        <v>156</v>
      </c>
    </row>
    <row r="123">
      <c r="B123" s="114" t="s">
        <v>157</v>
      </c>
      <c r="C123" s="138">
        <v>625.0</v>
      </c>
      <c r="D123" s="110">
        <f>18*625*18</f>
        <v>202500</v>
      </c>
      <c r="E123" s="135">
        <v>0.05</v>
      </c>
      <c r="F123" s="136">
        <v>212625.0</v>
      </c>
      <c r="G123" s="137" t="s">
        <v>158</v>
      </c>
    </row>
    <row r="124">
      <c r="B124" s="114" t="s">
        <v>159</v>
      </c>
      <c r="C124" s="138" t="s">
        <v>160</v>
      </c>
      <c r="D124" s="110">
        <v>45281.0</v>
      </c>
      <c r="E124" s="135">
        <v>0.05</v>
      </c>
      <c r="F124" s="136">
        <v>47545.05</v>
      </c>
    </row>
    <row r="125">
      <c r="B125" s="114" t="s">
        <v>77</v>
      </c>
      <c r="C125" s="138" t="s">
        <v>126</v>
      </c>
      <c r="D125" s="110">
        <v>7750.0</v>
      </c>
      <c r="E125" s="135">
        <v>0.18</v>
      </c>
      <c r="F125" s="136">
        <v>9145.0</v>
      </c>
    </row>
    <row r="126">
      <c r="B126" s="114" t="s">
        <v>78</v>
      </c>
      <c r="C126" s="138" t="s">
        <v>126</v>
      </c>
      <c r="D126" s="110">
        <v>4250.0</v>
      </c>
      <c r="E126" s="135">
        <v>0.18</v>
      </c>
      <c r="F126" s="136">
        <v>5015.0</v>
      </c>
    </row>
    <row r="127">
      <c r="B127" s="139" t="s">
        <v>81</v>
      </c>
      <c r="C127" s="140" t="s">
        <v>128</v>
      </c>
      <c r="D127" s="141">
        <v>2457.0</v>
      </c>
      <c r="E127" s="142">
        <v>0.18</v>
      </c>
      <c r="F127" s="143">
        <v>2899.2599999999998</v>
      </c>
    </row>
    <row r="128">
      <c r="B128" s="139" t="s">
        <v>83</v>
      </c>
      <c r="C128" s="140" t="s">
        <v>126</v>
      </c>
      <c r="E128" s="142">
        <v>0.18</v>
      </c>
    </row>
    <row r="129">
      <c r="B129" s="139" t="s">
        <v>85</v>
      </c>
      <c r="C129" s="140" t="s">
        <v>161</v>
      </c>
      <c r="D129" s="144">
        <v>630.0</v>
      </c>
      <c r="E129" s="142"/>
      <c r="F129" s="40">
        <v>743.4</v>
      </c>
    </row>
    <row r="130">
      <c r="B130" s="23" t="s">
        <v>79</v>
      </c>
      <c r="C130" s="43" t="s">
        <v>80</v>
      </c>
      <c r="D130" s="145"/>
      <c r="E130" s="37">
        <v>0.18</v>
      </c>
      <c r="F130" s="146" t="s">
        <v>162</v>
      </c>
    </row>
    <row r="131">
      <c r="B131" s="104" t="s">
        <v>86</v>
      </c>
      <c r="C131" s="109" t="s">
        <v>80</v>
      </c>
      <c r="D131" s="145"/>
      <c r="E131" s="37"/>
    </row>
    <row r="132">
      <c r="B132" s="104" t="s">
        <v>87</v>
      </c>
      <c r="C132" s="112"/>
      <c r="D132" s="145"/>
      <c r="E132" s="37"/>
    </row>
    <row r="133">
      <c r="B133" s="134" t="s">
        <v>131</v>
      </c>
      <c r="F133" s="131">
        <f>SUM(F122,F124:F132)</f>
        <v>271147.71</v>
      </c>
    </row>
    <row r="135">
      <c r="B135" s="41" t="s">
        <v>132</v>
      </c>
    </row>
    <row r="136">
      <c r="B136" s="147" t="s">
        <v>98</v>
      </c>
      <c r="C136" s="23" t="s">
        <v>99</v>
      </c>
    </row>
    <row r="137">
      <c r="B137" s="147" t="s">
        <v>100</v>
      </c>
      <c r="C137" s="23" t="s">
        <v>101</v>
      </c>
    </row>
    <row r="138">
      <c r="B138" s="147" t="s">
        <v>102</v>
      </c>
      <c r="C138" s="125" t="s">
        <v>103</v>
      </c>
    </row>
    <row r="139">
      <c r="B139" s="147" t="s">
        <v>105</v>
      </c>
      <c r="C139" s="23" t="s">
        <v>106</v>
      </c>
      <c r="D139" s="23" t="s">
        <v>107</v>
      </c>
    </row>
    <row r="140">
      <c r="C140" s="23" t="s">
        <v>108</v>
      </c>
      <c r="D140" s="23" t="s">
        <v>109</v>
      </c>
    </row>
    <row r="141">
      <c r="C141" s="23" t="s">
        <v>110</v>
      </c>
      <c r="D141" s="23" t="s">
        <v>111</v>
      </c>
    </row>
    <row r="142">
      <c r="C142" s="23" t="s">
        <v>112</v>
      </c>
      <c r="D142" s="23" t="s">
        <v>113</v>
      </c>
    </row>
    <row r="144">
      <c r="B144" s="41" t="s">
        <v>135</v>
      </c>
    </row>
    <row r="145">
      <c r="B145" s="23" t="s">
        <v>136</v>
      </c>
    </row>
    <row r="146">
      <c r="B146" s="23" t="s">
        <v>137</v>
      </c>
    </row>
    <row r="147">
      <c r="B147" s="23" t="s">
        <v>138</v>
      </c>
    </row>
    <row r="149">
      <c r="B149" s="41"/>
    </row>
    <row r="152">
      <c r="C152" s="125"/>
    </row>
  </sheetData>
  <mergeCells count="28">
    <mergeCell ref="B69:F70"/>
    <mergeCell ref="N69:Q70"/>
    <mergeCell ref="S69:W70"/>
    <mergeCell ref="B71:B77"/>
    <mergeCell ref="C71:F77"/>
    <mergeCell ref="N71:N77"/>
    <mergeCell ref="O71:Q77"/>
    <mergeCell ref="S71:S77"/>
    <mergeCell ref="T71:W77"/>
    <mergeCell ref="N94:P94"/>
    <mergeCell ref="S94:V94"/>
    <mergeCell ref="D23:D24"/>
    <mergeCell ref="D25:D26"/>
    <mergeCell ref="B30:F31"/>
    <mergeCell ref="B32:B38"/>
    <mergeCell ref="C32:F38"/>
    <mergeCell ref="D55:E55"/>
    <mergeCell ref="C58:C60"/>
    <mergeCell ref="D127:D128"/>
    <mergeCell ref="D153:D154"/>
    <mergeCell ref="D155:D156"/>
    <mergeCell ref="B94:E94"/>
    <mergeCell ref="C97:C99"/>
    <mergeCell ref="B107:F108"/>
    <mergeCell ref="B109:B115"/>
    <mergeCell ref="C109:F115"/>
    <mergeCell ref="F127:F128"/>
    <mergeCell ref="B133:E133"/>
  </mergeCells>
  <printOptions horizontalCentered="1"/>
  <pageMargins bottom="0.75" footer="0.0" header="0.0" left="0.7" right="0.7" top="0.75"/>
  <pageSetup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17.0"/>
    <col customWidth="1" min="4" max="4" width="17.25"/>
    <col customWidth="1" min="5" max="5" width="15.38"/>
    <col customWidth="1" min="6" max="6" width="18.25"/>
    <col customWidth="1" min="7" max="8" width="15.38"/>
    <col customWidth="1" min="11" max="11" width="27.38"/>
    <col customWidth="1" min="12" max="12" width="11.5"/>
    <col customWidth="1" min="13" max="13" width="12.0"/>
    <col customWidth="1" min="14" max="14" width="9.63"/>
    <col customWidth="1" min="15" max="15" width="9.38"/>
    <col customWidth="1" min="16" max="16" width="20.63"/>
  </cols>
  <sheetData>
    <row r="2">
      <c r="B2" s="148"/>
      <c r="C2" s="148"/>
      <c r="E2" s="207"/>
      <c r="I2" s="207"/>
    </row>
    <row r="3" ht="22.5" customHeight="1">
      <c r="B3" s="152" t="s">
        <v>167</v>
      </c>
      <c r="C3" s="78" t="s">
        <v>168</v>
      </c>
      <c r="D3" s="153" t="s">
        <v>169</v>
      </c>
      <c r="E3" s="154" t="s">
        <v>171</v>
      </c>
      <c r="F3" s="154" t="s">
        <v>250</v>
      </c>
      <c r="G3" s="226" t="s">
        <v>251</v>
      </c>
      <c r="H3" s="226" t="s">
        <v>252</v>
      </c>
      <c r="I3" s="78" t="s">
        <v>172</v>
      </c>
      <c r="J3" s="23"/>
      <c r="K3" s="153" t="s">
        <v>218</v>
      </c>
      <c r="L3" s="78" t="s">
        <v>253</v>
      </c>
      <c r="M3" s="78" t="s">
        <v>254</v>
      </c>
      <c r="N3" s="152" t="s">
        <v>181</v>
      </c>
      <c r="O3" s="227" t="s">
        <v>255</v>
      </c>
    </row>
    <row r="4" ht="22.5" customHeight="1">
      <c r="A4" s="23" t="s">
        <v>256</v>
      </c>
      <c r="B4" s="167" t="s">
        <v>185</v>
      </c>
      <c r="C4" s="228"/>
      <c r="D4" s="169"/>
      <c r="E4" s="169"/>
      <c r="F4" s="229"/>
      <c r="G4" s="229"/>
      <c r="H4" s="229"/>
      <c r="I4" s="230"/>
      <c r="K4" s="163" t="s">
        <v>183</v>
      </c>
      <c r="L4" s="231">
        <f>I17</f>
        <v>103.4</v>
      </c>
      <c r="M4" s="232">
        <f>I18</f>
        <v>145.6666667</v>
      </c>
      <c r="N4" s="163" t="s">
        <v>184</v>
      </c>
      <c r="O4" s="233"/>
    </row>
    <row r="5" ht="22.5" customHeight="1">
      <c r="A5" s="23" t="s">
        <v>256</v>
      </c>
      <c r="B5" s="167" t="s">
        <v>182</v>
      </c>
      <c r="C5" s="228">
        <v>6961.0</v>
      </c>
      <c r="D5" s="234">
        <v>66547.16</v>
      </c>
      <c r="E5" s="169">
        <f>D5/C5</f>
        <v>9.56</v>
      </c>
      <c r="F5" s="229">
        <v>6568.0</v>
      </c>
      <c r="G5" s="229">
        <v>59998.68</v>
      </c>
      <c r="H5" s="169">
        <f>G5/F5</f>
        <v>9.135</v>
      </c>
      <c r="I5" s="230">
        <f>C5/60</f>
        <v>116.0166667</v>
      </c>
      <c r="K5" s="163" t="s">
        <v>257</v>
      </c>
      <c r="L5" s="231">
        <f t="shared" ref="L5:M5" si="1">L4*$O$5</f>
        <v>82.72</v>
      </c>
      <c r="M5" s="231">
        <f t="shared" si="1"/>
        <v>116.5333333</v>
      </c>
      <c r="N5" s="163" t="s">
        <v>184</v>
      </c>
      <c r="O5" s="235">
        <v>0.8</v>
      </c>
      <c r="Q5" s="39"/>
    </row>
    <row r="6" ht="22.5" customHeight="1">
      <c r="A6" s="23" t="s">
        <v>258</v>
      </c>
      <c r="B6" s="159" t="s">
        <v>207</v>
      </c>
      <c r="C6" s="228"/>
      <c r="D6" s="169"/>
      <c r="E6" s="169"/>
      <c r="F6" s="229"/>
      <c r="G6" s="229"/>
      <c r="H6" s="229"/>
      <c r="I6" s="230"/>
      <c r="K6" s="171" t="s">
        <v>188</v>
      </c>
      <c r="L6" s="236">
        <f>L5/(C22*C25)</f>
        <v>15.04</v>
      </c>
      <c r="M6" s="236">
        <f>M5/(C22*C25)</f>
        <v>21.18787879</v>
      </c>
      <c r="N6" s="171" t="s">
        <v>189</v>
      </c>
      <c r="O6" s="233"/>
      <c r="Q6" s="39"/>
    </row>
    <row r="7" ht="22.5" customHeight="1">
      <c r="A7" s="23" t="s">
        <v>258</v>
      </c>
      <c r="B7" s="159" t="s">
        <v>203</v>
      </c>
      <c r="C7" s="228">
        <v>8740.0</v>
      </c>
      <c r="D7" s="234">
        <v>84865.4</v>
      </c>
      <c r="E7" s="169">
        <f>D7/C7</f>
        <v>9.71</v>
      </c>
      <c r="F7" s="229">
        <v>9710.0</v>
      </c>
      <c r="G7" s="229">
        <v>90351.55</v>
      </c>
      <c r="H7" s="169">
        <f>G7/F7</f>
        <v>9.305</v>
      </c>
      <c r="I7" s="230">
        <f>C7/60</f>
        <v>145.6666667</v>
      </c>
      <c r="K7" s="175" t="s">
        <v>191</v>
      </c>
      <c r="L7" s="237">
        <v>0.9</v>
      </c>
      <c r="M7" s="237">
        <v>0.9</v>
      </c>
      <c r="N7" s="179"/>
      <c r="O7" s="238"/>
    </row>
    <row r="8" ht="22.5" customHeight="1">
      <c r="A8" s="23" t="s">
        <v>259</v>
      </c>
      <c r="B8" s="159" t="s">
        <v>202</v>
      </c>
      <c r="C8" s="228"/>
      <c r="D8" s="169"/>
      <c r="E8" s="169"/>
      <c r="F8" s="229"/>
      <c r="G8" s="229"/>
      <c r="H8" s="229"/>
      <c r="I8" s="230"/>
      <c r="K8" s="239" t="s">
        <v>193</v>
      </c>
      <c r="L8" s="240">
        <f t="shared" ref="L8:M8" si="2">L6/L7</f>
        <v>16.71111111</v>
      </c>
      <c r="M8" s="240">
        <f t="shared" si="2"/>
        <v>23.54208754</v>
      </c>
      <c r="N8" s="241" t="s">
        <v>194</v>
      </c>
      <c r="O8" s="242"/>
      <c r="P8" s="23" t="s">
        <v>195</v>
      </c>
    </row>
    <row r="9" ht="22.5" customHeight="1">
      <c r="A9" s="23" t="s">
        <v>259</v>
      </c>
      <c r="B9" s="159" t="s">
        <v>201</v>
      </c>
      <c r="C9" s="228">
        <v>7623.0</v>
      </c>
      <c r="D9" s="234">
        <v>75239.01</v>
      </c>
      <c r="E9" s="169">
        <f>D9/C9</f>
        <v>9.87</v>
      </c>
      <c r="F9" s="229">
        <v>7152.0</v>
      </c>
      <c r="G9" s="229">
        <v>68373.12</v>
      </c>
      <c r="H9" s="169">
        <f>G9/F9</f>
        <v>9.56</v>
      </c>
      <c r="I9" s="230">
        <f>C9/60</f>
        <v>127.05</v>
      </c>
      <c r="K9" s="243" t="s">
        <v>197</v>
      </c>
      <c r="L9" s="244">
        <f t="shared" ref="L9:M9" si="3">1.2*L8</f>
        <v>20.05333333</v>
      </c>
      <c r="M9" s="244">
        <f t="shared" si="3"/>
        <v>28.25050505</v>
      </c>
      <c r="N9" s="245" t="s">
        <v>189</v>
      </c>
      <c r="O9" s="246"/>
      <c r="P9" s="23" t="s">
        <v>198</v>
      </c>
    </row>
    <row r="10" ht="22.5" customHeight="1">
      <c r="A10" s="23" t="s">
        <v>258</v>
      </c>
      <c r="B10" s="167" t="s">
        <v>200</v>
      </c>
      <c r="C10" s="228"/>
      <c r="D10" s="169"/>
      <c r="E10" s="169"/>
      <c r="F10" s="229"/>
      <c r="G10" s="229"/>
      <c r="H10" s="229"/>
      <c r="I10" s="230"/>
      <c r="L10" s="44"/>
      <c r="M10" s="44"/>
    </row>
    <row r="11" ht="22.5" customHeight="1">
      <c r="A11" s="23" t="s">
        <v>258</v>
      </c>
      <c r="B11" s="167" t="s">
        <v>199</v>
      </c>
      <c r="C11" s="228">
        <v>7037.0</v>
      </c>
      <c r="D11" s="234">
        <v>69455.19</v>
      </c>
      <c r="E11" s="169">
        <f>D11/C11</f>
        <v>9.87</v>
      </c>
      <c r="F11" s="229">
        <v>6345.0</v>
      </c>
      <c r="G11" s="229">
        <v>60658.2</v>
      </c>
      <c r="H11" s="169">
        <f>G11/F11</f>
        <v>9.56</v>
      </c>
      <c r="I11" s="230">
        <f>C11/60</f>
        <v>117.2833333</v>
      </c>
      <c r="K11" s="247" t="s">
        <v>213</v>
      </c>
      <c r="L11" s="247">
        <v>560.0</v>
      </c>
      <c r="M11" s="247">
        <v>700.0</v>
      </c>
      <c r="N11" s="248"/>
    </row>
    <row r="12" ht="22.5" customHeight="1">
      <c r="A12" s="23" t="s">
        <v>260</v>
      </c>
      <c r="B12" s="167" t="s">
        <v>196</v>
      </c>
      <c r="C12" s="228"/>
      <c r="D12" s="169"/>
      <c r="E12" s="169"/>
      <c r="F12" s="229"/>
      <c r="G12" s="229"/>
      <c r="H12" s="229"/>
      <c r="I12" s="230"/>
      <c r="K12" s="249" t="s">
        <v>214</v>
      </c>
      <c r="L12" s="250">
        <v>42.0</v>
      </c>
      <c r="M12" s="251">
        <f>ROUND((((System_Size_3[[#TOTALS],[Max]])*1000)/M11),0)+O12</f>
        <v>42</v>
      </c>
      <c r="N12" s="252">
        <v>-3.0</v>
      </c>
      <c r="O12" s="23">
        <v>2.0</v>
      </c>
    </row>
    <row r="13" ht="22.5" customHeight="1">
      <c r="A13" s="23" t="s">
        <v>260</v>
      </c>
      <c r="B13" s="167" t="s">
        <v>192</v>
      </c>
      <c r="C13" s="228">
        <v>6223.0</v>
      </c>
      <c r="D13" s="234">
        <v>61421.01</v>
      </c>
      <c r="E13" s="169">
        <f>D13/C13</f>
        <v>9.87</v>
      </c>
      <c r="F13" s="229">
        <v>7949.0</v>
      </c>
      <c r="G13" s="229">
        <v>75992.44</v>
      </c>
      <c r="H13" s="169">
        <f>G13/F13</f>
        <v>9.56</v>
      </c>
      <c r="I13" s="230">
        <f>C13/60</f>
        <v>103.7166667</v>
      </c>
      <c r="K13" s="249" t="s">
        <v>215</v>
      </c>
      <c r="L13" s="253">
        <v>20.0</v>
      </c>
      <c r="M13" s="253">
        <v>25.0</v>
      </c>
      <c r="N13" s="254"/>
    </row>
    <row r="14" ht="22.5" customHeight="1">
      <c r="A14" s="23" t="s">
        <v>256</v>
      </c>
      <c r="B14" s="167" t="s">
        <v>190</v>
      </c>
      <c r="C14" s="228"/>
      <c r="D14" s="169"/>
      <c r="E14" s="169"/>
      <c r="F14" s="229"/>
      <c r="G14" s="229"/>
      <c r="H14" s="229"/>
      <c r="I14" s="230"/>
      <c r="K14" s="249" t="s">
        <v>216</v>
      </c>
      <c r="L14" s="255">
        <f t="shared" ref="L14:M14" si="4">(L12*L11)/1000</f>
        <v>23.52</v>
      </c>
      <c r="M14" s="255">
        <f t="shared" si="4"/>
        <v>29.4</v>
      </c>
      <c r="N14" s="256"/>
    </row>
    <row r="15" ht="22.5" customHeight="1">
      <c r="A15" s="23" t="s">
        <v>256</v>
      </c>
      <c r="B15" s="167" t="s">
        <v>187</v>
      </c>
      <c r="C15" s="228">
        <v>6204.0</v>
      </c>
      <c r="D15" s="234">
        <v>61233.48</v>
      </c>
      <c r="E15" s="169">
        <f>D15/C15</f>
        <v>9.87</v>
      </c>
      <c r="F15" s="229">
        <v>7253.0</v>
      </c>
      <c r="G15" s="229">
        <v>69338.68</v>
      </c>
      <c r="H15" s="169">
        <f>G15/F15</f>
        <v>9.56</v>
      </c>
      <c r="I15" s="230">
        <f>C15/60</f>
        <v>103.4</v>
      </c>
      <c r="K15" s="247" t="s">
        <v>220</v>
      </c>
      <c r="L15" s="257">
        <f t="shared" ref="L15:M15" si="5">L14/L13</f>
        <v>1.176</v>
      </c>
      <c r="M15" s="257">
        <f t="shared" si="5"/>
        <v>1.176</v>
      </c>
      <c r="N15" s="258"/>
    </row>
    <row r="16" ht="22.5" customHeight="1">
      <c r="B16" s="259" t="s">
        <v>114</v>
      </c>
      <c r="C16" s="192">
        <f>SUM(Energy_Usage_kWh_3[(2025-2026) kWh])</f>
        <v>42788</v>
      </c>
      <c r="D16" s="87">
        <f>SUM(Energy_Usage_kWh_3[(2025-2026) Bill])</f>
        <v>418761.25</v>
      </c>
      <c r="E16" s="169"/>
      <c r="F16" s="193">
        <f>SUM(Energy_Usage_kWh_3[(2024-2025) kWh])</f>
        <v>44977</v>
      </c>
      <c r="G16" s="193"/>
      <c r="H16" s="193"/>
      <c r="I16" s="170"/>
      <c r="K16" s="260"/>
      <c r="L16" s="260"/>
      <c r="M16" s="260"/>
      <c r="N16" s="261"/>
    </row>
    <row r="17" ht="21.0" customHeight="1">
      <c r="B17" s="23" t="s">
        <v>261</v>
      </c>
      <c r="C17" s="39">
        <f>MIN(Energy_Usage_kWh_3[(2025-2026) kWh])</f>
        <v>6204</v>
      </c>
      <c r="D17" s="194"/>
      <c r="E17" s="45"/>
      <c r="F17" s="39"/>
      <c r="G17" s="39"/>
      <c r="H17" s="39"/>
      <c r="I17" s="39">
        <f>MIN(Energy_Usage_kWh_3[Daily kWh])</f>
        <v>103.4</v>
      </c>
      <c r="J17" s="48"/>
      <c r="K17" s="247" t="s">
        <v>262</v>
      </c>
      <c r="L17" s="262">
        <f t="shared" ref="L17:M17" si="6">L4-L5</f>
        <v>20.68</v>
      </c>
      <c r="M17" s="262">
        <f t="shared" si="6"/>
        <v>29.13333333</v>
      </c>
      <c r="N17" s="263"/>
    </row>
    <row r="18" ht="21.0" customHeight="1">
      <c r="B18" s="23" t="s">
        <v>263</v>
      </c>
      <c r="C18" s="39">
        <f>MAX(C4:C15)</f>
        <v>8740</v>
      </c>
      <c r="D18" s="194"/>
      <c r="E18" s="45"/>
      <c r="F18" s="39"/>
      <c r="G18" s="39"/>
      <c r="H18" s="39"/>
      <c r="I18" s="39">
        <f>MAX(Energy_Usage_kWh_3[Daily kWh])</f>
        <v>145.6666667</v>
      </c>
      <c r="J18" s="48"/>
      <c r="K18" s="23" t="s">
        <v>264</v>
      </c>
      <c r="L18" s="23">
        <v>20.0</v>
      </c>
      <c r="M18" s="23">
        <v>20.0</v>
      </c>
      <c r="N18" s="264"/>
    </row>
    <row r="19" ht="22.5" customHeight="1">
      <c r="C19" s="39"/>
      <c r="D19" s="194"/>
      <c r="E19" s="45"/>
      <c r="F19" s="39"/>
      <c r="G19" s="39"/>
      <c r="H19" s="39"/>
      <c r="I19" s="45"/>
      <c r="J19" s="48"/>
      <c r="K19" s="247" t="s">
        <v>265</v>
      </c>
      <c r="L19" s="262">
        <f t="shared" ref="L19:M19" si="7">L18*0.9</f>
        <v>18</v>
      </c>
      <c r="M19" s="262">
        <f t="shared" si="7"/>
        <v>18</v>
      </c>
      <c r="N19" s="265"/>
    </row>
    <row r="20" ht="21.0" customHeight="1">
      <c r="B20" s="148"/>
      <c r="C20" s="148"/>
      <c r="K20" s="266" t="s">
        <v>266</v>
      </c>
      <c r="L20" s="267">
        <f>L13</f>
        <v>20</v>
      </c>
      <c r="M20" s="266">
        <v>25.0</v>
      </c>
      <c r="N20" s="248"/>
    </row>
    <row r="21" ht="24.0" customHeight="1">
      <c r="B21" s="152" t="s">
        <v>217</v>
      </c>
      <c r="C21" s="153" t="s">
        <v>218</v>
      </c>
      <c r="K21" s="260"/>
      <c r="L21" s="260"/>
      <c r="M21" s="260"/>
    </row>
    <row r="22" ht="22.5" customHeight="1">
      <c r="B22" s="161" t="s">
        <v>221</v>
      </c>
      <c r="C22" s="161">
        <v>5.5</v>
      </c>
      <c r="K22" s="247" t="s">
        <v>267</v>
      </c>
      <c r="L22" s="257">
        <f t="shared" ref="L22:M22" si="8">L13*$C$22</f>
        <v>110</v>
      </c>
      <c r="M22" s="257">
        <f t="shared" si="8"/>
        <v>137.5</v>
      </c>
    </row>
    <row r="23" ht="22.5" customHeight="1">
      <c r="B23" s="161" t="s">
        <v>224</v>
      </c>
      <c r="C23" s="161">
        <v>25.0</v>
      </c>
      <c r="K23" s="260"/>
      <c r="L23" s="260"/>
      <c r="M23" s="260"/>
    </row>
    <row r="24" ht="22.5" customHeight="1">
      <c r="B24" s="161" t="s">
        <v>227</v>
      </c>
      <c r="C24" s="161">
        <v>0.0</v>
      </c>
      <c r="K24" s="260"/>
      <c r="L24" s="260"/>
      <c r="M24" s="260"/>
    </row>
    <row r="25" ht="22.5" customHeight="1">
      <c r="B25" s="161" t="s">
        <v>229</v>
      </c>
      <c r="C25" s="90">
        <f>1-(C24/100)</f>
        <v>1</v>
      </c>
      <c r="K25" s="260"/>
      <c r="L25" s="260"/>
      <c r="M25" s="260"/>
    </row>
    <row r="26" ht="24.0" customHeight="1">
      <c r="E26" s="207"/>
      <c r="F26" s="207"/>
      <c r="G26" s="207"/>
      <c r="H26" s="207"/>
      <c r="I26" s="207"/>
      <c r="J26" s="207"/>
      <c r="K26" s="260"/>
      <c r="L26" s="260"/>
      <c r="M26" s="260"/>
    </row>
    <row r="28">
      <c r="B28" s="148"/>
      <c r="C28" s="148"/>
      <c r="E28" s="207"/>
      <c r="I28" s="207"/>
    </row>
    <row r="29" ht="22.5" customHeight="1">
      <c r="B29" s="152" t="s">
        <v>167</v>
      </c>
      <c r="C29" s="78" t="s">
        <v>168</v>
      </c>
      <c r="D29" s="153" t="s">
        <v>169</v>
      </c>
      <c r="E29" s="154" t="s">
        <v>171</v>
      </c>
      <c r="F29" s="154" t="s">
        <v>250</v>
      </c>
      <c r="G29" s="226" t="s">
        <v>251</v>
      </c>
      <c r="H29" s="226" t="s">
        <v>252</v>
      </c>
      <c r="I29" s="78" t="s">
        <v>172</v>
      </c>
      <c r="J29" s="23"/>
      <c r="K29" s="153" t="s">
        <v>218</v>
      </c>
      <c r="L29" s="78" t="s">
        <v>253</v>
      </c>
      <c r="M29" s="78" t="s">
        <v>254</v>
      </c>
      <c r="N29" s="152" t="s">
        <v>181</v>
      </c>
      <c r="O29" s="227" t="s">
        <v>255</v>
      </c>
    </row>
    <row r="30" ht="22.5" customHeight="1">
      <c r="A30" s="23" t="s">
        <v>256</v>
      </c>
      <c r="B30" s="167" t="s">
        <v>185</v>
      </c>
      <c r="C30" s="228"/>
      <c r="D30" s="169"/>
      <c r="E30" s="169"/>
      <c r="F30" s="229"/>
      <c r="G30" s="229"/>
      <c r="H30" s="229"/>
      <c r="I30" s="230"/>
      <c r="K30" s="163" t="s">
        <v>183</v>
      </c>
      <c r="L30" s="231">
        <f>I43</f>
        <v>76.13333333</v>
      </c>
      <c r="M30" s="232">
        <f>I44</f>
        <v>86.6</v>
      </c>
      <c r="N30" s="163" t="s">
        <v>184</v>
      </c>
      <c r="O30" s="233"/>
    </row>
    <row r="31" ht="22.5" customHeight="1">
      <c r="A31" s="23" t="s">
        <v>256</v>
      </c>
      <c r="B31" s="167" t="s">
        <v>182</v>
      </c>
      <c r="C31" s="228">
        <v>4671.0</v>
      </c>
      <c r="D31" s="234">
        <v>49792.86</v>
      </c>
      <c r="E31" s="169">
        <f>D31/C31</f>
        <v>10.66</v>
      </c>
      <c r="F31" s="229">
        <v>6568.0</v>
      </c>
      <c r="G31" s="229">
        <v>59998.68</v>
      </c>
      <c r="H31" s="169">
        <f>G31/F31</f>
        <v>9.135</v>
      </c>
      <c r="I31" s="230">
        <f>C31/60</f>
        <v>77.85</v>
      </c>
      <c r="K31" s="163" t="s">
        <v>257</v>
      </c>
      <c r="L31" s="231">
        <f t="shared" ref="L31:M31" si="9">L30*$O$31</f>
        <v>60.90666667</v>
      </c>
      <c r="M31" s="231">
        <f t="shared" si="9"/>
        <v>69.28</v>
      </c>
      <c r="N31" s="163" t="s">
        <v>184</v>
      </c>
      <c r="O31" s="235">
        <v>0.8</v>
      </c>
      <c r="Q31" s="39"/>
    </row>
    <row r="32" ht="22.5" customHeight="1">
      <c r="A32" s="23" t="s">
        <v>258</v>
      </c>
      <c r="B32" s="159" t="s">
        <v>207</v>
      </c>
      <c r="C32" s="228"/>
      <c r="D32" s="169"/>
      <c r="E32" s="169"/>
      <c r="F32" s="229"/>
      <c r="G32" s="229"/>
      <c r="H32" s="229"/>
      <c r="I32" s="230"/>
      <c r="K32" s="171" t="s">
        <v>188</v>
      </c>
      <c r="L32" s="236">
        <f>L31/(C48*C51)</f>
        <v>11.07393939</v>
      </c>
      <c r="M32" s="236">
        <f>M31/(C48*C51)</f>
        <v>12.59636364</v>
      </c>
      <c r="N32" s="171" t="s">
        <v>189</v>
      </c>
      <c r="O32" s="233"/>
      <c r="Q32" s="39"/>
    </row>
    <row r="33" ht="22.5" customHeight="1">
      <c r="A33" s="23" t="s">
        <v>258</v>
      </c>
      <c r="B33" s="159" t="s">
        <v>203</v>
      </c>
      <c r="C33" s="228">
        <v>5196.0</v>
      </c>
      <c r="D33" s="234">
        <v>56175.3</v>
      </c>
      <c r="E33" s="169">
        <f>D33/C33</f>
        <v>10.81125866</v>
      </c>
      <c r="F33" s="229">
        <v>9710.0</v>
      </c>
      <c r="G33" s="229">
        <v>90351.55</v>
      </c>
      <c r="H33" s="169">
        <f>G33/F33</f>
        <v>9.305</v>
      </c>
      <c r="I33" s="230">
        <f>C33/60</f>
        <v>86.6</v>
      </c>
      <c r="K33" s="175" t="s">
        <v>191</v>
      </c>
      <c r="L33" s="237">
        <v>0.9</v>
      </c>
      <c r="M33" s="237">
        <v>0.9</v>
      </c>
      <c r="N33" s="179"/>
      <c r="O33" s="238"/>
    </row>
    <row r="34" ht="22.5" customHeight="1">
      <c r="A34" s="23" t="s">
        <v>259</v>
      </c>
      <c r="B34" s="159" t="s">
        <v>202</v>
      </c>
      <c r="C34" s="228"/>
      <c r="D34" s="169"/>
      <c r="E34" s="169"/>
      <c r="F34" s="229"/>
      <c r="G34" s="229"/>
      <c r="H34" s="229"/>
      <c r="I34" s="230"/>
      <c r="K34" s="239" t="s">
        <v>193</v>
      </c>
      <c r="L34" s="240">
        <f t="shared" ref="L34:M34" si="10">L32/L33</f>
        <v>12.3043771</v>
      </c>
      <c r="M34" s="240">
        <f t="shared" si="10"/>
        <v>13.9959596</v>
      </c>
      <c r="N34" s="241" t="s">
        <v>194</v>
      </c>
      <c r="O34" s="242"/>
      <c r="P34" s="23" t="s">
        <v>195</v>
      </c>
    </row>
    <row r="35" ht="22.5" customHeight="1">
      <c r="A35" s="23" t="s">
        <v>259</v>
      </c>
      <c r="B35" s="159" t="s">
        <v>201</v>
      </c>
      <c r="C35" s="228">
        <v>4981.0</v>
      </c>
      <c r="D35" s="234">
        <v>54654.52</v>
      </c>
      <c r="E35" s="169">
        <f>D35/C35</f>
        <v>10.97259988</v>
      </c>
      <c r="F35" s="229">
        <v>7152.0</v>
      </c>
      <c r="G35" s="229">
        <v>68373.12</v>
      </c>
      <c r="H35" s="169">
        <f>G35/F35</f>
        <v>9.56</v>
      </c>
      <c r="I35" s="230">
        <f>C35/60</f>
        <v>83.01666667</v>
      </c>
      <c r="K35" s="243" t="s">
        <v>197</v>
      </c>
      <c r="L35" s="244">
        <f t="shared" ref="L35:M35" si="11">1.2*L34</f>
        <v>14.76525253</v>
      </c>
      <c r="M35" s="244">
        <f t="shared" si="11"/>
        <v>16.79515152</v>
      </c>
      <c r="N35" s="245" t="s">
        <v>189</v>
      </c>
      <c r="O35" s="246"/>
      <c r="P35" s="23" t="s">
        <v>198</v>
      </c>
    </row>
    <row r="36" ht="22.5" customHeight="1">
      <c r="A36" s="23" t="s">
        <v>258</v>
      </c>
      <c r="B36" s="167" t="s">
        <v>200</v>
      </c>
      <c r="C36" s="228"/>
      <c r="D36" s="169"/>
      <c r="E36" s="169"/>
      <c r="F36" s="229"/>
      <c r="G36" s="229"/>
      <c r="H36" s="229"/>
      <c r="I36" s="230"/>
      <c r="L36" s="44"/>
      <c r="M36" s="44"/>
    </row>
    <row r="37" ht="22.5" customHeight="1">
      <c r="A37" s="23" t="s">
        <v>258</v>
      </c>
      <c r="B37" s="167" t="s">
        <v>199</v>
      </c>
      <c r="C37" s="228">
        <v>4697.0</v>
      </c>
      <c r="D37" s="234">
        <v>51538.3</v>
      </c>
      <c r="E37" s="169">
        <f>D37/C37</f>
        <v>10.97259953</v>
      </c>
      <c r="F37" s="229">
        <v>6345.0</v>
      </c>
      <c r="G37" s="229">
        <v>60658.2</v>
      </c>
      <c r="H37" s="169">
        <f>G37/F37</f>
        <v>9.56</v>
      </c>
      <c r="I37" s="230">
        <f>C37/60</f>
        <v>78.28333333</v>
      </c>
      <c r="K37" s="247" t="s">
        <v>213</v>
      </c>
      <c r="L37" s="247">
        <v>700.0</v>
      </c>
      <c r="M37" s="247">
        <v>560.0</v>
      </c>
      <c r="N37" s="248"/>
      <c r="O37" s="248"/>
      <c r="P37" s="248"/>
    </row>
    <row r="38" ht="22.5" customHeight="1">
      <c r="A38" s="23" t="s">
        <v>260</v>
      </c>
      <c r="B38" s="167" t="s">
        <v>196</v>
      </c>
      <c r="C38" s="228"/>
      <c r="D38" s="169"/>
      <c r="E38" s="169"/>
      <c r="F38" s="229"/>
      <c r="G38" s="229"/>
      <c r="H38" s="229"/>
      <c r="I38" s="230"/>
      <c r="K38" s="249" t="s">
        <v>214</v>
      </c>
      <c r="L38" s="250">
        <v>20.0</v>
      </c>
      <c r="M38" s="251">
        <f>ROUND((((Table8[[#TOTALS],[Max]])*1000)/M37),0)+O38</f>
        <v>30</v>
      </c>
      <c r="N38" s="252"/>
      <c r="O38" s="252">
        <v>0.0</v>
      </c>
      <c r="P38" s="252">
        <v>38.0</v>
      </c>
    </row>
    <row r="39" ht="22.5" customHeight="1">
      <c r="A39" s="23" t="s">
        <v>260</v>
      </c>
      <c r="B39" s="167" t="s">
        <v>192</v>
      </c>
      <c r="C39" s="228">
        <v>4811.0</v>
      </c>
      <c r="D39" s="234">
        <v>52789.18</v>
      </c>
      <c r="E39" s="169">
        <f>D39/C39</f>
        <v>10.97260029</v>
      </c>
      <c r="F39" s="229">
        <v>7949.0</v>
      </c>
      <c r="G39" s="229">
        <v>75992.44</v>
      </c>
      <c r="H39" s="169">
        <f>G39/F39</f>
        <v>9.56</v>
      </c>
      <c r="I39" s="230">
        <f>C39/60</f>
        <v>80.18333333</v>
      </c>
      <c r="K39" s="249" t="s">
        <v>215</v>
      </c>
      <c r="L39" s="253">
        <v>12.0</v>
      </c>
      <c r="M39" s="253">
        <v>15.0</v>
      </c>
      <c r="N39" s="254"/>
      <c r="O39" s="268"/>
      <c r="P39" s="269">
        <v>18.0</v>
      </c>
    </row>
    <row r="40" ht="22.5" customHeight="1">
      <c r="A40" s="23" t="s">
        <v>256</v>
      </c>
      <c r="B40" s="167" t="s">
        <v>190</v>
      </c>
      <c r="C40" s="228"/>
      <c r="D40" s="169"/>
      <c r="E40" s="169"/>
      <c r="F40" s="229"/>
      <c r="G40" s="229"/>
      <c r="H40" s="229"/>
      <c r="I40" s="230"/>
      <c r="K40" s="249" t="s">
        <v>216</v>
      </c>
      <c r="L40" s="255">
        <f t="shared" ref="L40:M40" si="12">(L38*L37)/1000</f>
        <v>14</v>
      </c>
      <c r="M40" s="255">
        <f t="shared" si="12"/>
        <v>16.8</v>
      </c>
      <c r="N40" s="256"/>
      <c r="O40" s="256"/>
      <c r="P40" s="254">
        <f>(P38*M37)/1000</f>
        <v>21.28</v>
      </c>
    </row>
    <row r="41" ht="22.5" customHeight="1">
      <c r="A41" s="23" t="s">
        <v>256</v>
      </c>
      <c r="B41" s="167" t="s">
        <v>187</v>
      </c>
      <c r="C41" s="228">
        <v>4568.0</v>
      </c>
      <c r="D41" s="234">
        <v>50122.84</v>
      </c>
      <c r="E41" s="169">
        <f>D41/C41</f>
        <v>10.9726007</v>
      </c>
      <c r="F41" s="229">
        <v>7253.0</v>
      </c>
      <c r="G41" s="229">
        <v>69338.68</v>
      </c>
      <c r="H41" s="169">
        <f>G41/F41</f>
        <v>9.56</v>
      </c>
      <c r="I41" s="230">
        <f>C41/60</f>
        <v>76.13333333</v>
      </c>
      <c r="K41" s="247" t="s">
        <v>220</v>
      </c>
      <c r="L41" s="257">
        <f t="shared" ref="L41:M41" si="13">L40/L39</f>
        <v>1.166666667</v>
      </c>
      <c r="M41" s="257">
        <f t="shared" si="13"/>
        <v>1.12</v>
      </c>
      <c r="N41" s="258"/>
      <c r="O41" s="270"/>
      <c r="P41" s="271">
        <f>P40/P39</f>
        <v>1.182222222</v>
      </c>
    </row>
    <row r="42" ht="22.5" customHeight="1">
      <c r="B42" s="259" t="s">
        <v>114</v>
      </c>
      <c r="C42" s="192">
        <f>SUM(Table7[(2025-2026) kWh])</f>
        <v>28924</v>
      </c>
      <c r="D42" s="87">
        <f>SUM(Table7[(2025-2026) Bill])</f>
        <v>315073</v>
      </c>
      <c r="E42" s="169"/>
      <c r="F42" s="193">
        <f>SUM(Table7[(2024-2025) kWh])</f>
        <v>44977</v>
      </c>
      <c r="G42" s="193"/>
      <c r="H42" s="193"/>
      <c r="I42" s="170"/>
      <c r="K42" s="260"/>
      <c r="L42" s="260"/>
      <c r="M42" s="260"/>
      <c r="N42" s="261"/>
      <c r="O42" s="272"/>
      <c r="P42" s="272"/>
    </row>
    <row r="43" ht="21.0" customHeight="1">
      <c r="B43" s="23" t="s">
        <v>261</v>
      </c>
      <c r="C43" s="39">
        <f>MIN(Table7[(2025-2026) kWh])</f>
        <v>4568</v>
      </c>
      <c r="D43" s="194"/>
      <c r="E43" s="45"/>
      <c r="F43" s="39"/>
      <c r="G43" s="39"/>
      <c r="H43" s="39"/>
      <c r="I43" s="39">
        <f>MIN(Table7[Daily kWh])</f>
        <v>76.13333333</v>
      </c>
      <c r="J43" s="48"/>
      <c r="K43" s="247" t="s">
        <v>262</v>
      </c>
      <c r="L43" s="262">
        <f t="shared" ref="L43:M43" si="14">L30-L31</f>
        <v>15.22666667</v>
      </c>
      <c r="M43" s="262">
        <f t="shared" si="14"/>
        <v>17.32</v>
      </c>
      <c r="N43" s="263"/>
      <c r="O43" s="265"/>
      <c r="P43" s="265"/>
    </row>
    <row r="44" ht="21.0" customHeight="1">
      <c r="B44" s="23" t="s">
        <v>263</v>
      </c>
      <c r="C44" s="39">
        <f>MAX(C30:C41)</f>
        <v>5196</v>
      </c>
      <c r="D44" s="194"/>
      <c r="E44" s="45"/>
      <c r="F44" s="39"/>
      <c r="G44" s="39"/>
      <c r="H44" s="39"/>
      <c r="I44" s="39">
        <f>MAX(Table7[Daily kWh])</f>
        <v>86.6</v>
      </c>
      <c r="J44" s="48"/>
      <c r="K44" s="23" t="s">
        <v>264</v>
      </c>
      <c r="L44" s="23">
        <v>20.0</v>
      </c>
      <c r="M44" s="23">
        <v>20.0</v>
      </c>
      <c r="N44" s="264"/>
      <c r="O44" s="264"/>
      <c r="P44" s="264"/>
    </row>
    <row r="45" ht="22.5" customHeight="1">
      <c r="C45" s="39"/>
      <c r="D45" s="194"/>
      <c r="E45" s="45"/>
      <c r="F45" s="39"/>
      <c r="G45" s="39"/>
      <c r="H45" s="39"/>
      <c r="I45" s="45"/>
      <c r="J45" s="48"/>
      <c r="K45" s="247" t="s">
        <v>265</v>
      </c>
      <c r="L45" s="262">
        <f t="shared" ref="L45:M45" si="15">L44*0.9</f>
        <v>18</v>
      </c>
      <c r="M45" s="262">
        <f t="shared" si="15"/>
        <v>18</v>
      </c>
      <c r="N45" s="265"/>
      <c r="O45" s="265"/>
      <c r="P45" s="265"/>
    </row>
    <row r="46" ht="21.0" customHeight="1">
      <c r="B46" s="148"/>
      <c r="C46" s="148"/>
      <c r="K46" s="266" t="s">
        <v>266</v>
      </c>
      <c r="L46" s="267">
        <f>L39</f>
        <v>12</v>
      </c>
      <c r="M46" s="266">
        <v>25.0</v>
      </c>
      <c r="N46" s="248"/>
      <c r="O46" s="248"/>
      <c r="P46" s="248"/>
    </row>
    <row r="47" ht="24.0" customHeight="1">
      <c r="B47" s="152" t="s">
        <v>217</v>
      </c>
      <c r="C47" s="153" t="s">
        <v>218</v>
      </c>
      <c r="K47" s="260"/>
      <c r="L47" s="260"/>
      <c r="M47" s="260"/>
    </row>
    <row r="48" ht="22.5" customHeight="1">
      <c r="B48" s="161" t="s">
        <v>221</v>
      </c>
      <c r="C48" s="161">
        <v>5.5</v>
      </c>
      <c r="K48" s="247" t="s">
        <v>267</v>
      </c>
      <c r="L48" s="257">
        <f t="shared" ref="L48:M48" si="16">L39*$C$22</f>
        <v>66</v>
      </c>
      <c r="M48" s="257">
        <f t="shared" si="16"/>
        <v>82.5</v>
      </c>
    </row>
    <row r="49" ht="22.5" customHeight="1">
      <c r="B49" s="161" t="s">
        <v>224</v>
      </c>
      <c r="C49" s="161">
        <v>25.0</v>
      </c>
      <c r="K49" s="260"/>
      <c r="L49" s="260"/>
      <c r="M49" s="260"/>
    </row>
    <row r="50" ht="22.5" customHeight="1">
      <c r="B50" s="161" t="s">
        <v>227</v>
      </c>
      <c r="C50" s="161">
        <v>0.0</v>
      </c>
      <c r="K50" s="260"/>
      <c r="L50" s="260"/>
      <c r="M50" s="260"/>
    </row>
    <row r="51" ht="22.5" customHeight="1">
      <c r="B51" s="161" t="s">
        <v>229</v>
      </c>
      <c r="C51" s="90">
        <f>1-(C50/100)</f>
        <v>1</v>
      </c>
      <c r="K51" s="260"/>
      <c r="L51" s="260"/>
      <c r="M51" s="260"/>
    </row>
  </sheetData>
  <dataValidations>
    <dataValidation type="custom" allowBlank="1" showDropDown="1" sqref="L4:M8 D4:D15 I4:I15 L30:M34 D30:D41 I30:I41">
      <formula1>AND(ISNUMBER(D4),(NOT(OR(NOT(ISERROR(DATEVALUE(D4))), AND(ISNUMBER(D4), LEFT(CELL("format", D4))="D")))))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20.25"/>
    <col customWidth="1" min="4" max="4" width="14.38"/>
    <col customWidth="1" min="5" max="5" width="29.63"/>
    <col customWidth="1" min="6" max="6" width="27.38"/>
    <col customWidth="1" min="7" max="7" width="23.5"/>
    <col customWidth="1" min="8" max="8" width="26.25"/>
    <col customWidth="1" min="10" max="10" width="21.0"/>
    <col customWidth="1" min="11" max="11" width="13.88"/>
    <col customWidth="1" min="12" max="12" width="14.25"/>
    <col customWidth="1" min="13" max="13" width="29.63"/>
    <col customWidth="1" min="16" max="16" width="17.25"/>
    <col customWidth="1" min="17" max="18" width="17.38"/>
  </cols>
  <sheetData>
    <row r="2">
      <c r="B2" s="273" t="s">
        <v>268</v>
      </c>
      <c r="C2" s="148"/>
    </row>
    <row r="3">
      <c r="B3" s="273" t="s">
        <v>269</v>
      </c>
      <c r="C3" s="148"/>
    </row>
    <row r="4">
      <c r="B4" s="273" t="s">
        <v>270</v>
      </c>
      <c r="C4" s="148"/>
    </row>
    <row r="5">
      <c r="B5" s="274" t="s">
        <v>271</v>
      </c>
      <c r="C5" s="148"/>
    </row>
    <row r="6">
      <c r="B6" s="148"/>
      <c r="C6" s="148"/>
    </row>
    <row r="7">
      <c r="B7" s="148"/>
      <c r="C7" s="148"/>
    </row>
    <row r="8" ht="22.5" customHeight="1">
      <c r="B8" s="152" t="s">
        <v>167</v>
      </c>
      <c r="C8" s="78" t="s">
        <v>272</v>
      </c>
      <c r="D8" s="154" t="s">
        <v>170</v>
      </c>
      <c r="F8" s="153" t="s">
        <v>218</v>
      </c>
      <c r="G8" s="78" t="s">
        <v>178</v>
      </c>
      <c r="H8" s="78" t="s">
        <v>180</v>
      </c>
      <c r="I8" s="152" t="s">
        <v>181</v>
      </c>
    </row>
    <row r="9" ht="22.5" customHeight="1">
      <c r="B9" s="167" t="s">
        <v>185</v>
      </c>
      <c r="C9" s="228">
        <v>749.11</v>
      </c>
      <c r="D9" s="229">
        <v>1051.0</v>
      </c>
      <c r="F9" s="163" t="s">
        <v>183</v>
      </c>
      <c r="G9" s="231">
        <v>100.0</v>
      </c>
      <c r="H9" s="232">
        <f>C31+C39</f>
        <v>21.08571429</v>
      </c>
      <c r="I9" s="163" t="s">
        <v>184</v>
      </c>
    </row>
    <row r="10" ht="22.5" customHeight="1">
      <c r="B10" s="159" t="s">
        <v>207</v>
      </c>
      <c r="C10" s="228">
        <v>705.4</v>
      </c>
      <c r="D10" s="229">
        <v>1239.0</v>
      </c>
      <c r="F10" s="163" t="s">
        <v>186</v>
      </c>
      <c r="G10" s="232">
        <f>G9/C22</f>
        <v>100</v>
      </c>
      <c r="H10" s="232">
        <f>H9/C22</f>
        <v>21.08571429</v>
      </c>
      <c r="I10" s="163" t="s">
        <v>184</v>
      </c>
      <c r="L10" s="39"/>
    </row>
    <row r="11" ht="22.5" customHeight="1">
      <c r="B11" s="159" t="s">
        <v>202</v>
      </c>
      <c r="C11" s="228">
        <v>405.58</v>
      </c>
      <c r="D11" s="229">
        <v>421.0</v>
      </c>
      <c r="F11" s="171" t="s">
        <v>188</v>
      </c>
      <c r="G11" s="236">
        <f>G9/(C19*C22)</f>
        <v>18.18181818</v>
      </c>
      <c r="H11" s="236">
        <f>H9/(C19*C22)</f>
        <v>3.833766234</v>
      </c>
      <c r="I11" s="171" t="s">
        <v>189</v>
      </c>
      <c r="L11" s="39"/>
    </row>
    <row r="12" ht="22.5" customHeight="1">
      <c r="B12" s="167" t="s">
        <v>200</v>
      </c>
      <c r="C12" s="228">
        <v>415.02</v>
      </c>
      <c r="D12" s="229">
        <v>536.0</v>
      </c>
      <c r="F12" s="175" t="s">
        <v>191</v>
      </c>
      <c r="G12" s="237">
        <v>0.8</v>
      </c>
      <c r="H12" s="237">
        <v>0.99</v>
      </c>
      <c r="I12" s="179"/>
    </row>
    <row r="13" ht="22.5" customHeight="1">
      <c r="B13" s="167" t="s">
        <v>196</v>
      </c>
      <c r="C13" s="228">
        <v>399.0</v>
      </c>
      <c r="D13" s="229">
        <v>521.0</v>
      </c>
      <c r="F13" s="180" t="s">
        <v>193</v>
      </c>
      <c r="G13" s="275">
        <f t="shared" ref="G13:H13" si="1">G11/G12</f>
        <v>22.72727273</v>
      </c>
      <c r="H13" s="275">
        <f t="shared" si="1"/>
        <v>3.872491145</v>
      </c>
      <c r="I13" s="180" t="s">
        <v>194</v>
      </c>
      <c r="K13" s="23" t="s">
        <v>195</v>
      </c>
    </row>
    <row r="14" ht="22.5" customHeight="1">
      <c r="B14" s="167" t="s">
        <v>190</v>
      </c>
      <c r="C14" s="228">
        <v>416.2</v>
      </c>
      <c r="D14" s="229">
        <v>432.0</v>
      </c>
      <c r="F14" s="184" t="s">
        <v>197</v>
      </c>
      <c r="G14" s="275">
        <f t="shared" ref="G14:H14" si="2">1.25*G13</f>
        <v>28.40909091</v>
      </c>
      <c r="H14" s="275">
        <f t="shared" si="2"/>
        <v>4.840613932</v>
      </c>
      <c r="I14" s="180" t="s">
        <v>189</v>
      </c>
      <c r="K14" s="23" t="s">
        <v>273</v>
      </c>
    </row>
    <row r="15" ht="22.5" customHeight="1">
      <c r="B15" s="191"/>
      <c r="C15" s="193">
        <f>SUM(Energy_Usage_kWh_2[2025-2026])</f>
        <v>3090.31</v>
      </c>
      <c r="D15" s="193">
        <f>SUM(Energy_Usage_kWh_2[2024-2025])</f>
        <v>4200</v>
      </c>
      <c r="G15" s="44"/>
      <c r="H15" s="44"/>
    </row>
    <row r="16" ht="22.5" customHeight="1">
      <c r="B16" s="23" t="s">
        <v>208</v>
      </c>
      <c r="C16" s="39">
        <f>Energy_Usage_kWh_2[[#TOTALS],[2025-2026]]/365</f>
        <v>8.46660274</v>
      </c>
      <c r="D16" s="39">
        <f>Energy_Usage_kWh_2[[#TOTALS],[2024-2025]]/365</f>
        <v>11.50684932</v>
      </c>
    </row>
    <row r="17">
      <c r="B17" s="148"/>
      <c r="C17" s="148"/>
    </row>
    <row r="18" ht="22.5" customHeight="1">
      <c r="B18" s="152" t="s">
        <v>217</v>
      </c>
      <c r="C18" s="153" t="s">
        <v>218</v>
      </c>
      <c r="F18" s="153" t="s">
        <v>177</v>
      </c>
      <c r="G18" s="152" t="s">
        <v>274</v>
      </c>
      <c r="H18" s="152" t="s">
        <v>121</v>
      </c>
    </row>
    <row r="19" ht="22.5" customHeight="1">
      <c r="B19" s="161" t="s">
        <v>221</v>
      </c>
      <c r="C19" s="161">
        <v>5.5</v>
      </c>
      <c r="F19" s="163"/>
      <c r="G19" s="163" t="s">
        <v>184</v>
      </c>
      <c r="H19" s="232"/>
    </row>
    <row r="20" ht="22.5" customHeight="1">
      <c r="B20" s="161" t="s">
        <v>224</v>
      </c>
      <c r="C20" s="161">
        <v>25.0</v>
      </c>
      <c r="F20" s="163"/>
      <c r="G20" s="163"/>
      <c r="H20" s="232"/>
    </row>
    <row r="21" ht="22.5" customHeight="1">
      <c r="B21" s="161" t="s">
        <v>227</v>
      </c>
      <c r="C21" s="161">
        <v>0.0</v>
      </c>
      <c r="F21" s="171"/>
      <c r="G21" s="171"/>
      <c r="H21" s="236"/>
    </row>
    <row r="22" ht="22.5" customHeight="1">
      <c r="B22" s="161" t="s">
        <v>229</v>
      </c>
      <c r="C22" s="90">
        <f>1-(C21/100)</f>
        <v>1</v>
      </c>
      <c r="F22" s="175"/>
      <c r="G22" s="179"/>
      <c r="H22" s="237"/>
    </row>
    <row r="23" ht="21.0" customHeight="1">
      <c r="F23" s="180"/>
      <c r="G23" s="180"/>
      <c r="H23" s="275"/>
    </row>
    <row r="24" ht="24.0" customHeight="1">
      <c r="F24" s="184"/>
      <c r="G24" s="180"/>
      <c r="H24" s="275"/>
    </row>
    <row r="25">
      <c r="B25" s="148"/>
      <c r="C25" s="148"/>
    </row>
    <row r="26" ht="22.5" customHeight="1">
      <c r="B26" s="152" t="s">
        <v>167</v>
      </c>
      <c r="C26" s="152" t="s">
        <v>219</v>
      </c>
      <c r="D26" s="227" t="s">
        <v>218</v>
      </c>
      <c r="I26" s="276"/>
    </row>
    <row r="27" ht="22.5" customHeight="1">
      <c r="B27" s="161" t="s">
        <v>222</v>
      </c>
      <c r="C27" s="208" t="s">
        <v>223</v>
      </c>
      <c r="D27" s="277" t="s">
        <v>275</v>
      </c>
    </row>
    <row r="28" ht="22.5" customHeight="1">
      <c r="B28" s="209" t="s">
        <v>225</v>
      </c>
      <c r="C28" s="208">
        <v>30.0</v>
      </c>
      <c r="D28" s="277">
        <v>45.0</v>
      </c>
      <c r="F28" s="278" t="s">
        <v>204</v>
      </c>
      <c r="G28" s="278" t="s">
        <v>205</v>
      </c>
      <c r="H28" s="279" t="s">
        <v>206</v>
      </c>
    </row>
    <row r="29" ht="22.5" customHeight="1">
      <c r="B29" s="213" t="s">
        <v>228</v>
      </c>
      <c r="C29" s="208">
        <v>3.0</v>
      </c>
      <c r="D29" s="277">
        <v>4.0</v>
      </c>
      <c r="E29" s="207"/>
      <c r="F29" s="278">
        <v>10.0</v>
      </c>
      <c r="G29" s="280">
        <f t="shared" ref="G29:H29" si="3">G11*(1-0.005)^10</f>
        <v>17.29291146</v>
      </c>
      <c r="H29" s="281">
        <f t="shared" si="3"/>
        <v>3.646333903</v>
      </c>
    </row>
    <row r="30" ht="22.5" customHeight="1">
      <c r="B30" s="213" t="s">
        <v>276</v>
      </c>
      <c r="C30" s="208">
        <v>4.0</v>
      </c>
      <c r="D30" s="277">
        <v>3.0</v>
      </c>
      <c r="E30" s="207"/>
      <c r="F30" s="278">
        <v>15.0</v>
      </c>
      <c r="G30" s="280">
        <f t="shared" ref="G30:H30" si="4">G11*(1-0.005)^15</f>
        <v>16.86489034</v>
      </c>
      <c r="H30" s="281">
        <f t="shared" si="4"/>
        <v>3.556082592</v>
      </c>
    </row>
    <row r="31" ht="22.5" customHeight="1">
      <c r="B31" s="213" t="s">
        <v>230</v>
      </c>
      <c r="C31" s="214">
        <f t="shared" ref="C31:D31" si="5">((C$28*1*0.9*C$29)+(C$28*0.5*0.9*C$30))/7</f>
        <v>19.28571429</v>
      </c>
      <c r="D31" s="214">
        <f t="shared" si="5"/>
        <v>31.82142857</v>
      </c>
      <c r="E31" s="207"/>
      <c r="F31" s="278">
        <v>20.0</v>
      </c>
      <c r="G31" s="281">
        <f t="shared" ref="G31:H31" si="6">G11*(1-0.005)^20</f>
        <v>16.44746328</v>
      </c>
      <c r="H31" s="281">
        <f t="shared" si="6"/>
        <v>3.468065114</v>
      </c>
    </row>
    <row r="33">
      <c r="B33" s="148"/>
      <c r="C33" s="148"/>
      <c r="E33" s="207"/>
      <c r="F33" s="282"/>
      <c r="G33" s="283" t="s">
        <v>211</v>
      </c>
      <c r="H33" s="283" t="s">
        <v>212</v>
      </c>
    </row>
    <row r="34" ht="22.5" customHeight="1">
      <c r="B34" s="152" t="s">
        <v>167</v>
      </c>
      <c r="C34" s="152" t="s">
        <v>219</v>
      </c>
      <c r="E34" s="207"/>
      <c r="F34" s="284" t="s">
        <v>213</v>
      </c>
      <c r="G34" s="285">
        <v>620.0</v>
      </c>
      <c r="H34" s="285">
        <v>615.0</v>
      </c>
    </row>
    <row r="35" ht="22.5" customHeight="1">
      <c r="B35" s="161" t="s">
        <v>222</v>
      </c>
      <c r="C35" s="208"/>
      <c r="E35" s="207"/>
      <c r="F35" s="286" t="s">
        <v>214</v>
      </c>
      <c r="G35" s="287">
        <f>ROUND(((G14*1000)/G34),0)</f>
        <v>46</v>
      </c>
      <c r="H35" s="287">
        <f>ROUND((((System_Size_2[[#TOTALS],[Normal System]]+System_Size_2[[#TOTALS],[EV alone]])*1000)/H34),0)</f>
        <v>54</v>
      </c>
    </row>
    <row r="36" ht="22.5" customHeight="1">
      <c r="B36" s="209" t="s">
        <v>225</v>
      </c>
      <c r="C36" s="208">
        <v>3.5</v>
      </c>
      <c r="F36" s="286" t="s">
        <v>216</v>
      </c>
      <c r="G36" s="288">
        <f t="shared" ref="G36:H36" si="7">(G35*G34)/1000</f>
        <v>28.52</v>
      </c>
      <c r="H36" s="288">
        <f t="shared" si="7"/>
        <v>33.21</v>
      </c>
    </row>
    <row r="37" ht="22.5" customHeight="1">
      <c r="B37" s="213" t="s">
        <v>228</v>
      </c>
      <c r="C37" s="208">
        <v>4.0</v>
      </c>
      <c r="F37" s="23" t="s">
        <v>220</v>
      </c>
      <c r="G37" s="39">
        <f>G36/G13</f>
        <v>1.25488</v>
      </c>
      <c r="H37" s="39">
        <f>H36/(G13+H13)</f>
        <v>1.248507324</v>
      </c>
    </row>
    <row r="38" ht="22.5" customHeight="1">
      <c r="B38" s="213" t="s">
        <v>276</v>
      </c>
      <c r="C38" s="208">
        <v>3.0</v>
      </c>
      <c r="F38" s="210" t="s">
        <v>215</v>
      </c>
      <c r="G38" s="289">
        <v>3.0</v>
      </c>
      <c r="H38" s="289">
        <v>6.0</v>
      </c>
    </row>
    <row r="39" ht="22.5" customHeight="1">
      <c r="B39" s="213" t="s">
        <v>230</v>
      </c>
      <c r="C39" s="214">
        <f>(C36*0.9*C37)/7</f>
        <v>1.8</v>
      </c>
      <c r="F39" s="210" t="s">
        <v>277</v>
      </c>
      <c r="G39" s="290">
        <v>4.0</v>
      </c>
      <c r="H39" s="290">
        <f>if((H38&gt;H36),H35+1,H35)</f>
        <v>54</v>
      </c>
    </row>
    <row r="40">
      <c r="F40" s="210" t="s">
        <v>278</v>
      </c>
      <c r="G40" s="211">
        <f t="shared" ref="G40:H40" si="8">(G34*G39)/1000</f>
        <v>2.48</v>
      </c>
      <c r="H40" s="211">
        <f t="shared" si="8"/>
        <v>33.21</v>
      </c>
    </row>
    <row r="41">
      <c r="G41" s="44"/>
    </row>
    <row r="42">
      <c r="F42" s="210"/>
    </row>
    <row r="43">
      <c r="F43" s="210"/>
      <c r="H43" s="45"/>
    </row>
    <row r="45">
      <c r="F45" s="126" t="s">
        <v>279</v>
      </c>
      <c r="H45" s="126" t="s">
        <v>280</v>
      </c>
      <c r="I45" s="117"/>
      <c r="L45" s="126" t="s">
        <v>281</v>
      </c>
    </row>
    <row r="46">
      <c r="C46" s="291" t="s">
        <v>282</v>
      </c>
      <c r="D46" s="292"/>
      <c r="E46" s="292"/>
      <c r="F46" s="293" t="s">
        <v>283</v>
      </c>
      <c r="G46" s="293" t="s">
        <v>284</v>
      </c>
      <c r="H46" s="293" t="s">
        <v>283</v>
      </c>
      <c r="I46" s="293" t="s">
        <v>284</v>
      </c>
      <c r="J46" s="293" t="s">
        <v>285</v>
      </c>
      <c r="K46" s="294"/>
      <c r="L46" s="293" t="s">
        <v>283</v>
      </c>
      <c r="M46" s="295" t="s">
        <v>284</v>
      </c>
    </row>
    <row r="47">
      <c r="B47" s="137" t="s">
        <v>286</v>
      </c>
      <c r="C47" s="296" t="s">
        <v>287</v>
      </c>
      <c r="D47" s="296"/>
      <c r="E47" s="296"/>
      <c r="F47" s="296"/>
      <c r="G47" s="296"/>
      <c r="H47" s="296">
        <v>10.0</v>
      </c>
      <c r="I47" s="296">
        <v>15.0</v>
      </c>
      <c r="J47" s="296">
        <f>I47</f>
        <v>15</v>
      </c>
      <c r="K47" s="296" t="s">
        <v>288</v>
      </c>
      <c r="L47" s="297">
        <f t="shared" ref="L47:M47" si="9">H47/($C$59*$C$60)</f>
        <v>12.34567901</v>
      </c>
      <c r="M47" s="297">
        <f t="shared" si="9"/>
        <v>18.51851852</v>
      </c>
      <c r="N47" s="23" t="s">
        <v>289</v>
      </c>
    </row>
    <row r="48" hidden="1">
      <c r="B48" s="298" t="s">
        <v>290</v>
      </c>
      <c r="C48" s="299" t="s">
        <v>291</v>
      </c>
      <c r="D48" s="299" t="s">
        <v>292</v>
      </c>
      <c r="E48" s="299" t="s">
        <v>293</v>
      </c>
      <c r="F48" s="299">
        <v>2.0</v>
      </c>
      <c r="G48" s="299">
        <v>4.0</v>
      </c>
      <c r="H48" s="300">
        <f t="shared" ref="H48:I48" si="10">F48*$C$57</f>
        <v>40</v>
      </c>
      <c r="I48" s="300">
        <f t="shared" si="10"/>
        <v>80</v>
      </c>
      <c r="K48" s="299" t="s">
        <v>294</v>
      </c>
      <c r="L48" s="301">
        <f t="shared" ref="L48:M48" si="11">H48/($C$59*$C$60)</f>
        <v>49.38271605</v>
      </c>
      <c r="M48" s="301">
        <f t="shared" si="11"/>
        <v>98.7654321</v>
      </c>
    </row>
    <row r="49" hidden="1">
      <c r="C49" s="299" t="s">
        <v>291</v>
      </c>
      <c r="D49" s="299" t="s">
        <v>295</v>
      </c>
      <c r="E49" s="299" t="s">
        <v>296</v>
      </c>
      <c r="F49" s="299">
        <v>4.0</v>
      </c>
      <c r="G49" s="299">
        <v>7.0</v>
      </c>
      <c r="H49" s="300">
        <f t="shared" ref="H49:I49" si="12">F49*$C$57</f>
        <v>80</v>
      </c>
      <c r="I49" s="300">
        <f t="shared" si="12"/>
        <v>140</v>
      </c>
      <c r="K49" s="299" t="s">
        <v>294</v>
      </c>
      <c r="L49" s="301">
        <f t="shared" ref="L49:M49" si="13">H49/($C$59*$C$60)</f>
        <v>98.7654321</v>
      </c>
      <c r="M49" s="301">
        <f t="shared" si="13"/>
        <v>172.8395062</v>
      </c>
    </row>
    <row r="50">
      <c r="C50" s="296" t="s">
        <v>291</v>
      </c>
      <c r="D50" s="296" t="s">
        <v>297</v>
      </c>
      <c r="E50" s="296" t="s">
        <v>298</v>
      </c>
      <c r="F50" s="296">
        <v>6.0</v>
      </c>
      <c r="G50" s="296">
        <v>13.0</v>
      </c>
      <c r="H50" s="302">
        <f t="shared" ref="H50:I50" si="14">F50*$C$57</f>
        <v>120</v>
      </c>
      <c r="I50" s="302">
        <f t="shared" si="14"/>
        <v>260</v>
      </c>
      <c r="J50" s="296">
        <v>180.0</v>
      </c>
      <c r="K50" s="296" t="s">
        <v>288</v>
      </c>
      <c r="L50" s="297">
        <f t="shared" ref="L50:M50" si="15">H50/($C$59*$C$60)</f>
        <v>148.1481481</v>
      </c>
      <c r="M50" s="297">
        <f t="shared" si="15"/>
        <v>320.9876543</v>
      </c>
    </row>
    <row r="51" hidden="1">
      <c r="B51" s="298" t="s">
        <v>299</v>
      </c>
      <c r="C51" s="299" t="s">
        <v>291</v>
      </c>
      <c r="D51" s="299" t="s">
        <v>292</v>
      </c>
      <c r="E51" s="299" t="s">
        <v>293</v>
      </c>
      <c r="F51" s="299">
        <v>0.0</v>
      </c>
      <c r="G51" s="299">
        <v>1.0</v>
      </c>
      <c r="H51" s="300">
        <f t="shared" ref="H51:I51" si="16">F51*$C$57</f>
        <v>0</v>
      </c>
      <c r="I51" s="300">
        <f t="shared" si="16"/>
        <v>20</v>
      </c>
      <c r="K51" s="299" t="s">
        <v>294</v>
      </c>
      <c r="L51" s="303">
        <f t="shared" ref="L51:M51" si="17">H51/($C$59*$C$60)</f>
        <v>0</v>
      </c>
      <c r="M51" s="303">
        <f t="shared" si="17"/>
        <v>24.69135802</v>
      </c>
    </row>
    <row r="52" hidden="1">
      <c r="C52" s="299" t="s">
        <v>291</v>
      </c>
      <c r="D52" s="299" t="s">
        <v>295</v>
      </c>
      <c r="E52" s="299" t="s">
        <v>296</v>
      </c>
      <c r="F52" s="299">
        <v>0.0</v>
      </c>
      <c r="G52" s="299">
        <v>2.0</v>
      </c>
      <c r="H52" s="300">
        <f t="shared" ref="H52:I52" si="18">F52*$C$57</f>
        <v>0</v>
      </c>
      <c r="I52" s="300">
        <f t="shared" si="18"/>
        <v>40</v>
      </c>
      <c r="K52" s="299" t="s">
        <v>294</v>
      </c>
      <c r="L52" s="303">
        <f t="shared" ref="L52:M52" si="19">H52/($C$59*$C$60)</f>
        <v>0</v>
      </c>
      <c r="M52" s="303">
        <f t="shared" si="19"/>
        <v>49.38271605</v>
      </c>
    </row>
    <row r="53">
      <c r="C53" s="296" t="s">
        <v>291</v>
      </c>
      <c r="D53" s="296" t="s">
        <v>297</v>
      </c>
      <c r="E53" s="296" t="s">
        <v>298</v>
      </c>
      <c r="F53" s="296">
        <v>2.0</v>
      </c>
      <c r="G53" s="296">
        <v>6.0</v>
      </c>
      <c r="H53" s="302">
        <f t="shared" ref="H53:I53" si="20">F53*$C$57</f>
        <v>40</v>
      </c>
      <c r="I53" s="302">
        <f t="shared" si="20"/>
        <v>120</v>
      </c>
      <c r="J53" s="296">
        <v>80.0</v>
      </c>
      <c r="K53" s="296" t="s">
        <v>288</v>
      </c>
      <c r="L53" s="297">
        <f t="shared" ref="L53:M53" si="21">H53/($C$59*$C$60)</f>
        <v>49.38271605</v>
      </c>
      <c r="M53" s="297">
        <f t="shared" si="21"/>
        <v>148.1481481</v>
      </c>
    </row>
    <row r="54">
      <c r="B54" s="137" t="s">
        <v>286</v>
      </c>
      <c r="C54" s="296" t="s">
        <v>300</v>
      </c>
      <c r="D54" s="302"/>
      <c r="E54" s="296" t="s">
        <v>301</v>
      </c>
      <c r="F54" s="304">
        <v>6.0</v>
      </c>
      <c r="G54" s="304">
        <v>12.0</v>
      </c>
      <c r="H54" s="304">
        <f>SUM(C31:D31)*0.5</f>
        <v>25.55357143</v>
      </c>
      <c r="I54" s="304">
        <f>SUM(C31:D31)*1</f>
        <v>51.10714286</v>
      </c>
      <c r="J54" s="304">
        <f>I54</f>
        <v>51.10714286</v>
      </c>
      <c r="K54" s="296" t="s">
        <v>288</v>
      </c>
      <c r="L54" s="297">
        <f t="shared" ref="L54:M54" si="22">H54/($C$59*$C$60)</f>
        <v>31.54761905</v>
      </c>
      <c r="M54" s="297">
        <f t="shared" si="22"/>
        <v>63.0952381</v>
      </c>
    </row>
    <row r="57">
      <c r="B57" s="23" t="s">
        <v>302</v>
      </c>
      <c r="C57" s="23">
        <v>20.0</v>
      </c>
    </row>
    <row r="58">
      <c r="B58" s="23" t="s">
        <v>303</v>
      </c>
      <c r="C58" s="23">
        <v>30.0</v>
      </c>
    </row>
    <row r="59">
      <c r="B59" s="23" t="s">
        <v>304</v>
      </c>
      <c r="C59" s="37">
        <v>0.9</v>
      </c>
    </row>
    <row r="60">
      <c r="B60" s="23" t="s">
        <v>305</v>
      </c>
      <c r="C60" s="37">
        <v>0.9</v>
      </c>
    </row>
    <row r="62">
      <c r="B62" s="305" t="s">
        <v>306</v>
      </c>
      <c r="C62" s="43">
        <v>200.0</v>
      </c>
      <c r="D62" s="23" t="s">
        <v>307</v>
      </c>
    </row>
    <row r="63">
      <c r="B63" s="305" t="s">
        <v>308</v>
      </c>
      <c r="C63" s="23">
        <v>50.0</v>
      </c>
      <c r="D63" s="23" t="s">
        <v>309</v>
      </c>
    </row>
    <row r="64">
      <c r="B64" s="23" t="s">
        <v>310</v>
      </c>
      <c r="C64" s="48">
        <f>200/5.5</f>
        <v>36.36363636</v>
      </c>
    </row>
  </sheetData>
  <autoFilter ref="$B$45:$N$54">
    <filterColumn colId="2">
      <filters blank="1">
        <filter val="Non-solar hours"/>
      </filters>
    </filterColumn>
  </autoFilter>
  <mergeCells count="4">
    <mergeCell ref="G41:H41"/>
    <mergeCell ref="B45:D45"/>
    <mergeCell ref="B48:B50"/>
    <mergeCell ref="B51:B53"/>
  </mergeCells>
  <dataValidations>
    <dataValidation type="custom" allowBlank="1" showDropDown="1" sqref="G9:H13 H19:H23">
      <formula1>AND(ISNUMBER(G9),(NOT(OR(NOT(ISERROR(DATEVALUE(G9))), AND(ISNUMBER(G9), LEFT(CELL("format", G9))="D")))))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6" max="6" width="17.0"/>
  </cols>
  <sheetData>
    <row r="4">
      <c r="B4" s="306"/>
      <c r="C4" s="306"/>
      <c r="D4" s="306"/>
    </row>
    <row r="5" ht="22.5" customHeight="1">
      <c r="B5" s="307" t="s">
        <v>311</v>
      </c>
      <c r="C5" s="307" t="s">
        <v>312</v>
      </c>
      <c r="D5" s="307" t="s">
        <v>313</v>
      </c>
      <c r="F5" s="152" t="s">
        <v>311</v>
      </c>
      <c r="G5" s="152" t="s">
        <v>312</v>
      </c>
      <c r="H5" s="152" t="s">
        <v>313</v>
      </c>
    </row>
    <row r="6" ht="22.5" customHeight="1">
      <c r="B6" s="170" t="s">
        <v>314</v>
      </c>
      <c r="C6" s="308">
        <v>5.0</v>
      </c>
      <c r="D6" s="170" t="s">
        <v>315</v>
      </c>
      <c r="F6" s="170" t="s">
        <v>314</v>
      </c>
      <c r="G6" s="161">
        <v>4.0</v>
      </c>
      <c r="H6" s="161" t="s">
        <v>315</v>
      </c>
    </row>
    <row r="7" ht="22.5" customHeight="1">
      <c r="B7" s="170" t="s">
        <v>316</v>
      </c>
      <c r="C7" s="308">
        <v>400.0</v>
      </c>
      <c r="D7" s="170" t="s">
        <v>317</v>
      </c>
      <c r="F7" s="308" t="s">
        <v>318</v>
      </c>
      <c r="G7" s="161">
        <v>415.0</v>
      </c>
      <c r="H7" s="161" t="s">
        <v>317</v>
      </c>
    </row>
    <row r="8" ht="22.5" customHeight="1">
      <c r="B8" s="306"/>
      <c r="C8" s="306"/>
      <c r="D8" s="306"/>
      <c r="F8" s="161" t="s">
        <v>319</v>
      </c>
      <c r="G8" s="161">
        <v>3.0</v>
      </c>
      <c r="H8" s="161" t="s">
        <v>320</v>
      </c>
    </row>
    <row r="9">
      <c r="B9" s="309" t="s">
        <v>321</v>
      </c>
      <c r="C9" s="310">
        <v>0.3</v>
      </c>
    </row>
    <row r="10">
      <c r="F10" s="311" t="s">
        <v>322</v>
      </c>
      <c r="G10" s="312">
        <f>(G6*1000/(SQRT(3)*415*1))*(1+C9)</f>
        <v>7.234268433</v>
      </c>
      <c r="H10" s="311" t="s">
        <v>323</v>
      </c>
    </row>
    <row r="12">
      <c r="B12" s="313" t="s">
        <v>324</v>
      </c>
      <c r="C12" s="314">
        <f>(C6*1000/C7)*(1+C9)</f>
        <v>16.25</v>
      </c>
      <c r="D12" s="315" t="s">
        <v>323</v>
      </c>
    </row>
    <row r="15">
      <c r="G15" s="23" t="s">
        <v>325</v>
      </c>
    </row>
    <row r="16">
      <c r="B16" s="316" t="s">
        <v>326</v>
      </c>
      <c r="C16" s="317"/>
    </row>
    <row r="17">
      <c r="B17" s="316" t="s">
        <v>327</v>
      </c>
      <c r="C17" s="316" t="s">
        <v>328</v>
      </c>
    </row>
    <row r="18">
      <c r="B18" s="316" t="s">
        <v>329</v>
      </c>
      <c r="C18" s="316" t="s">
        <v>330</v>
      </c>
    </row>
  </sheetData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0"/>
    <col customWidth="1" min="3" max="3" width="25.5"/>
    <col customWidth="1" min="4" max="4" width="22.5"/>
    <col customWidth="1" min="5" max="5" width="17.13"/>
    <col customWidth="1" min="7" max="7" width="16.38"/>
    <col customWidth="1" min="8" max="8" width="25.5"/>
    <col customWidth="1" min="9" max="9" width="21.38"/>
    <col customWidth="1" min="10" max="11" width="21.0"/>
  </cols>
  <sheetData>
    <row r="4" ht="22.5" customHeight="1">
      <c r="B4" s="318" t="s">
        <v>331</v>
      </c>
      <c r="C4" s="318" t="s">
        <v>332</v>
      </c>
      <c r="D4" s="318" t="s">
        <v>333</v>
      </c>
      <c r="E4" s="319" t="s">
        <v>334</v>
      </c>
      <c r="F4" s="318" t="s">
        <v>335</v>
      </c>
      <c r="G4" s="318" t="s">
        <v>336</v>
      </c>
    </row>
    <row r="5" ht="22.5" customHeight="1">
      <c r="B5" s="320" t="s">
        <v>337</v>
      </c>
      <c r="C5" s="320">
        <v>5.0</v>
      </c>
      <c r="D5" s="320">
        <v>10.0</v>
      </c>
      <c r="E5" s="320">
        <f t="shared" ref="E5:E12" si="1">C5*D5</f>
        <v>50</v>
      </c>
      <c r="F5" s="320">
        <v>6.0</v>
      </c>
      <c r="G5" s="321">
        <f t="shared" ref="G5:G12" si="2">C5*(D5*F5)</f>
        <v>300</v>
      </c>
    </row>
    <row r="6" ht="22.5" customHeight="1">
      <c r="B6" s="320" t="s">
        <v>338</v>
      </c>
      <c r="C6" s="320">
        <v>4.0</v>
      </c>
      <c r="D6" s="320">
        <v>70.0</v>
      </c>
      <c r="E6" s="320">
        <f t="shared" si="1"/>
        <v>280</v>
      </c>
      <c r="F6" s="320">
        <v>6.0</v>
      </c>
      <c r="G6" s="321">
        <f t="shared" si="2"/>
        <v>1680</v>
      </c>
      <c r="I6" s="23" t="s">
        <v>339</v>
      </c>
    </row>
    <row r="7" ht="22.5" customHeight="1">
      <c r="B7" s="320" t="s">
        <v>340</v>
      </c>
      <c r="C7" s="320">
        <v>1.0</v>
      </c>
      <c r="D7" s="320">
        <v>150.0</v>
      </c>
      <c r="E7" s="320">
        <f t="shared" si="1"/>
        <v>150</v>
      </c>
      <c r="F7" s="320">
        <v>2.0</v>
      </c>
      <c r="G7" s="321">
        <f t="shared" si="2"/>
        <v>300</v>
      </c>
    </row>
    <row r="8" ht="22.5" customHeight="1">
      <c r="B8" s="320" t="s">
        <v>341</v>
      </c>
      <c r="C8" s="320">
        <v>2.0</v>
      </c>
      <c r="D8" s="320">
        <v>1500.0</v>
      </c>
      <c r="E8" s="320">
        <f t="shared" si="1"/>
        <v>3000</v>
      </c>
      <c r="F8" s="320">
        <v>2.0</v>
      </c>
      <c r="G8" s="321">
        <f t="shared" si="2"/>
        <v>6000</v>
      </c>
    </row>
    <row r="9" ht="22.5" customHeight="1">
      <c r="B9" s="320" t="s">
        <v>342</v>
      </c>
      <c r="C9" s="320">
        <v>3.0</v>
      </c>
      <c r="D9" s="320">
        <v>10.0</v>
      </c>
      <c r="E9" s="320">
        <f t="shared" si="1"/>
        <v>30</v>
      </c>
      <c r="F9" s="320">
        <v>2.0</v>
      </c>
      <c r="G9" s="321">
        <f t="shared" si="2"/>
        <v>60</v>
      </c>
    </row>
    <row r="10" ht="22.5" customHeight="1">
      <c r="B10" s="320" t="s">
        <v>343</v>
      </c>
      <c r="C10" s="320">
        <v>1.0</v>
      </c>
      <c r="D10" s="320">
        <v>150.0</v>
      </c>
      <c r="E10" s="320">
        <f t="shared" si="1"/>
        <v>150</v>
      </c>
      <c r="F10" s="320">
        <v>3.0</v>
      </c>
      <c r="G10" s="321">
        <f t="shared" si="2"/>
        <v>450</v>
      </c>
    </row>
    <row r="11" ht="22.5" customHeight="1">
      <c r="B11" s="320" t="s">
        <v>344</v>
      </c>
      <c r="C11" s="320">
        <v>1.0</v>
      </c>
      <c r="D11" s="320">
        <v>250.0</v>
      </c>
      <c r="E11" s="320">
        <f t="shared" si="1"/>
        <v>250</v>
      </c>
      <c r="F11" s="320">
        <v>6.0</v>
      </c>
      <c r="G11" s="321">
        <f t="shared" si="2"/>
        <v>1500</v>
      </c>
    </row>
    <row r="12" ht="22.5" customHeight="1">
      <c r="B12" s="322" t="s">
        <v>345</v>
      </c>
      <c r="C12" s="322">
        <v>1.0</v>
      </c>
      <c r="D12" s="322">
        <v>300.0</v>
      </c>
      <c r="E12" s="322">
        <f t="shared" si="1"/>
        <v>300</v>
      </c>
      <c r="F12" s="322">
        <v>2.0</v>
      </c>
      <c r="G12" s="321">
        <f t="shared" si="2"/>
        <v>600</v>
      </c>
    </row>
    <row r="13" ht="22.5" customHeight="1">
      <c r="B13" s="322" t="s">
        <v>53</v>
      </c>
      <c r="C13" s="323"/>
      <c r="D13" s="323"/>
      <c r="E13" s="323">
        <f>SUM(E5:E12)</f>
        <v>4210</v>
      </c>
      <c r="F13" s="323"/>
      <c r="G13" s="323">
        <f>SUM(G5:G12)</f>
        <v>10890</v>
      </c>
    </row>
    <row r="18">
      <c r="F18" s="23" t="s">
        <v>17</v>
      </c>
    </row>
    <row r="21" ht="22.5" customHeight="1">
      <c r="B21" s="152" t="s">
        <v>346</v>
      </c>
      <c r="C21" s="324" t="s">
        <v>347</v>
      </c>
      <c r="D21" s="307" t="s">
        <v>348</v>
      </c>
      <c r="E21" s="307" t="s">
        <v>349</v>
      </c>
      <c r="F21" s="307" t="s">
        <v>350</v>
      </c>
      <c r="G21" s="307" t="s">
        <v>351</v>
      </c>
      <c r="H21" s="307" t="s">
        <v>218</v>
      </c>
      <c r="I21" s="307" t="s">
        <v>352</v>
      </c>
      <c r="J21" s="307" t="s">
        <v>353</v>
      </c>
      <c r="K21" s="307" t="s">
        <v>354</v>
      </c>
      <c r="L21" s="307" t="s">
        <v>355</v>
      </c>
    </row>
    <row r="22" ht="22.5" customHeight="1">
      <c r="B22" s="161" t="s">
        <v>356</v>
      </c>
      <c r="C22" s="161">
        <f>sum(G5,G6)</f>
        <v>1980</v>
      </c>
      <c r="D22" s="325">
        <f t="shared" ref="D22:D23" si="3">(((C22*1.3)/(0.8*24))*24)/1000</f>
        <v>3.2175</v>
      </c>
      <c r="E22" s="91">
        <v>24.0</v>
      </c>
      <c r="F22" s="325">
        <f t="shared" ref="F22:F23" si="4">((C22*1.3)/(0.8*24))</f>
        <v>134.0625</v>
      </c>
      <c r="G22" s="325">
        <f t="shared" ref="G22:G24" si="5">(E22*F22)/1000</f>
        <v>3.2175</v>
      </c>
      <c r="H22" s="325"/>
      <c r="I22" s="325">
        <f>D22/(sum(E5,E6)/1000)</f>
        <v>9.75</v>
      </c>
      <c r="J22" s="326">
        <f>D22/(sum(E5,E6)/1000)</f>
        <v>9.75</v>
      </c>
      <c r="K22" s="325">
        <f>D23/(sum(E5,E6)/1000)</f>
        <v>12.26136364</v>
      </c>
      <c r="L22" s="325">
        <f>D24/(sum(E5,E6)/1000)</f>
        <v>53.625</v>
      </c>
    </row>
    <row r="23" ht="22.5" customHeight="1">
      <c r="B23" s="161" t="s">
        <v>357</v>
      </c>
      <c r="C23" s="161">
        <f>sum(G5,G6,G10,G9)</f>
        <v>2490</v>
      </c>
      <c r="D23" s="325">
        <f t="shared" si="3"/>
        <v>4.04625</v>
      </c>
      <c r="E23" s="91">
        <v>24.0</v>
      </c>
      <c r="F23" s="327">
        <f t="shared" si="4"/>
        <v>168.59375</v>
      </c>
      <c r="G23" s="327">
        <f t="shared" si="5"/>
        <v>4.04625</v>
      </c>
      <c r="H23" s="327"/>
      <c r="I23" s="327">
        <f>D23/(sum(E5,E6,E10,E9)/1000)</f>
        <v>7.933823529</v>
      </c>
      <c r="J23" s="325">
        <f>D22/(sum(E5,E6,E10,E9)/1000)</f>
        <v>6.308823529</v>
      </c>
      <c r="K23" s="326">
        <f>D23/(sum(E5,E6,E10,E9)/1000)</f>
        <v>7.933823529</v>
      </c>
      <c r="L23" s="325">
        <f>D24/(sum(E5,E6,E9,E10)/1000)</f>
        <v>34.69852941</v>
      </c>
    </row>
    <row r="24" ht="22.5" customHeight="1">
      <c r="B24" s="161" t="s">
        <v>358</v>
      </c>
      <c r="C24" s="161">
        <f>sum(G5:G12)</f>
        <v>10890</v>
      </c>
      <c r="D24" s="328">
        <f>(((C24*1.3)/(0.8*48))*48)/1000</f>
        <v>17.69625</v>
      </c>
      <c r="E24" s="88">
        <v>48.0</v>
      </c>
      <c r="F24" s="328">
        <f>((C24*1.3)/(0.8*48))</f>
        <v>368.671875</v>
      </c>
      <c r="G24" s="328">
        <f t="shared" si="5"/>
        <v>17.69625</v>
      </c>
      <c r="H24" s="328"/>
      <c r="I24" s="328">
        <f>D24/(sum(E5:E12)/1000)</f>
        <v>4.203384798</v>
      </c>
      <c r="J24" s="325">
        <f>D22/((sum(E5:E12))/1000)</f>
        <v>0.7642517815</v>
      </c>
      <c r="K24" s="325">
        <f>D23/(sum(E5:E12)/1000)</f>
        <v>0.9611045131</v>
      </c>
      <c r="L24" s="326">
        <f>D24/(sum(E5:E12)/1000)</f>
        <v>4.203384798</v>
      </c>
    </row>
  </sheetData>
  <dataValidations>
    <dataValidation type="custom" allowBlank="1" showDropDown="1" sqref="D22:E24 G22:G24 J22:L24">
      <formula1>AND(ISNUMBER(D22),(NOT(OR(NOT(ISERROR(DATEVALUE(D22))), AND(ISNUMBER(D22), LEFT(CELL("format", D22))="D")))))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3" max="3" width="17.88"/>
    <col customWidth="1" min="5" max="5" width="20.75"/>
  </cols>
  <sheetData>
    <row r="2"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</row>
    <row r="3">
      <c r="B3" s="306"/>
      <c r="C3" s="306"/>
      <c r="D3" s="306"/>
      <c r="E3" s="306" t="s">
        <v>359</v>
      </c>
      <c r="F3" s="306"/>
      <c r="G3" s="306"/>
      <c r="H3" s="306"/>
      <c r="I3" s="306"/>
      <c r="J3" s="306"/>
      <c r="K3" s="306"/>
      <c r="L3" s="306"/>
      <c r="M3" s="306"/>
      <c r="N3" s="306"/>
      <c r="O3" s="306"/>
    </row>
    <row r="4" ht="22.5" customHeight="1">
      <c r="B4" s="307" t="s">
        <v>360</v>
      </c>
      <c r="C4" s="307" t="s">
        <v>361</v>
      </c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</row>
    <row r="5" ht="22.5" customHeight="1">
      <c r="B5" s="170" t="s">
        <v>362</v>
      </c>
      <c r="C5" s="170">
        <v>23.0</v>
      </c>
      <c r="D5" s="306"/>
      <c r="E5" s="307" t="s">
        <v>363</v>
      </c>
      <c r="F5" s="307" t="s">
        <v>364</v>
      </c>
      <c r="G5" s="307" t="s">
        <v>365</v>
      </c>
      <c r="H5" s="307" t="s">
        <v>366</v>
      </c>
      <c r="I5" s="307" t="s">
        <v>367</v>
      </c>
      <c r="J5" s="306"/>
      <c r="K5" s="306" t="s">
        <v>368</v>
      </c>
      <c r="O5" s="306"/>
    </row>
    <row r="6" ht="22.5" customHeight="1">
      <c r="B6" s="170" t="s">
        <v>369</v>
      </c>
      <c r="C6" s="170">
        <v>12.0</v>
      </c>
      <c r="D6" s="306"/>
      <c r="E6" s="170" t="s">
        <v>370</v>
      </c>
      <c r="F6" s="170">
        <v>2.5</v>
      </c>
      <c r="G6" s="170">
        <v>4.0</v>
      </c>
      <c r="H6" s="170">
        <v>6.0</v>
      </c>
      <c r="I6" s="170">
        <v>16.0</v>
      </c>
      <c r="J6" s="306"/>
      <c r="O6" s="306"/>
    </row>
    <row r="7" ht="22.5" customHeight="1">
      <c r="B7" s="306"/>
      <c r="C7" s="306"/>
      <c r="D7" s="306"/>
      <c r="E7" s="329" t="s">
        <v>371</v>
      </c>
      <c r="F7" s="329">
        <v>4.0</v>
      </c>
      <c r="G7" s="329">
        <v>6.0</v>
      </c>
      <c r="H7" s="170">
        <v>16.0</v>
      </c>
      <c r="I7" s="170">
        <v>25.0</v>
      </c>
      <c r="J7" s="306"/>
      <c r="O7" s="306"/>
    </row>
    <row r="8" ht="22.5" customHeight="1">
      <c r="B8" s="306"/>
      <c r="C8" s="306"/>
      <c r="D8" s="306"/>
      <c r="E8" s="170" t="s">
        <v>372</v>
      </c>
      <c r="F8" s="170">
        <v>6.0</v>
      </c>
      <c r="G8" s="170">
        <v>10.0</v>
      </c>
      <c r="H8" s="170">
        <v>25.0</v>
      </c>
      <c r="I8" s="170">
        <v>35.0</v>
      </c>
      <c r="J8" s="306"/>
      <c r="K8" s="306"/>
      <c r="L8" s="306"/>
      <c r="M8" s="306"/>
      <c r="N8" s="306"/>
      <c r="O8" s="306"/>
    </row>
    <row r="9" ht="22.5" customHeight="1">
      <c r="B9" s="306"/>
      <c r="C9" s="306"/>
      <c r="D9" s="306"/>
      <c r="E9" s="170" t="s">
        <v>373</v>
      </c>
      <c r="F9" s="170">
        <v>10.0</v>
      </c>
      <c r="G9" s="170">
        <v>16.0</v>
      </c>
      <c r="H9" s="170">
        <v>35.0</v>
      </c>
      <c r="I9" s="170">
        <v>50.0</v>
      </c>
      <c r="J9" s="306"/>
      <c r="K9" s="306"/>
      <c r="L9" s="306"/>
      <c r="M9" s="306"/>
      <c r="N9" s="306"/>
      <c r="O9" s="306"/>
    </row>
    <row r="10" ht="22.5" customHeight="1">
      <c r="B10" s="330" t="s">
        <v>374</v>
      </c>
      <c r="C10" s="331">
        <v>4.0</v>
      </c>
      <c r="D10" s="306"/>
      <c r="E10" s="170" t="s">
        <v>375</v>
      </c>
      <c r="F10" s="170">
        <v>16.0</v>
      </c>
      <c r="G10" s="170">
        <v>25.0</v>
      </c>
      <c r="H10" s="170">
        <v>50.0</v>
      </c>
      <c r="I10" s="170">
        <v>70.0</v>
      </c>
      <c r="J10" s="306"/>
      <c r="K10" s="306"/>
      <c r="L10" s="306"/>
      <c r="M10" s="306"/>
      <c r="N10" s="306"/>
      <c r="O10" s="306"/>
    </row>
    <row r="11">
      <c r="B11" s="330" t="s">
        <v>376</v>
      </c>
      <c r="C11" s="331">
        <v>2.0</v>
      </c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</row>
    <row r="12">
      <c r="B12" s="306"/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</row>
    <row r="13">
      <c r="B13" s="332" t="s">
        <v>377</v>
      </c>
      <c r="C13" s="331">
        <v>1.25</v>
      </c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</row>
    <row r="14">
      <c r="B14" s="306"/>
      <c r="C14" s="306"/>
      <c r="D14" s="306"/>
      <c r="E14" s="306"/>
      <c r="F14" s="306"/>
      <c r="G14" s="306"/>
      <c r="H14" s="306"/>
      <c r="I14" s="306"/>
      <c r="J14" s="306"/>
      <c r="K14" s="306"/>
      <c r="L14" s="306"/>
      <c r="M14" s="306"/>
      <c r="N14" s="306"/>
      <c r="O14" s="306"/>
    </row>
    <row r="15">
      <c r="B15" s="306"/>
      <c r="C15" s="306"/>
      <c r="D15" s="306"/>
      <c r="E15" s="306" t="s">
        <v>378</v>
      </c>
      <c r="F15" s="306"/>
      <c r="G15" s="306"/>
      <c r="H15" s="306"/>
      <c r="I15" s="306"/>
      <c r="J15" s="306"/>
      <c r="K15" s="306"/>
      <c r="L15" s="306"/>
      <c r="M15" s="306"/>
      <c r="N15" s="306"/>
      <c r="O15" s="306"/>
    </row>
    <row r="16">
      <c r="B16" s="306"/>
      <c r="C16" s="306"/>
      <c r="D16" s="306"/>
      <c r="E16" s="306"/>
      <c r="F16" s="306"/>
      <c r="G16" s="306"/>
      <c r="H16" s="306"/>
      <c r="I16" s="306"/>
      <c r="J16" s="306"/>
      <c r="K16" s="306"/>
      <c r="L16" s="306"/>
      <c r="M16" s="306"/>
      <c r="N16" s="306"/>
      <c r="O16" s="306"/>
    </row>
    <row r="17" ht="22.5" customHeight="1">
      <c r="B17" s="306"/>
      <c r="C17" s="306"/>
      <c r="D17" s="306"/>
      <c r="E17" s="307" t="s">
        <v>363</v>
      </c>
      <c r="F17" s="307" t="s">
        <v>364</v>
      </c>
      <c r="G17" s="307" t="s">
        <v>365</v>
      </c>
      <c r="H17" s="307" t="s">
        <v>366</v>
      </c>
      <c r="I17" s="307" t="s">
        <v>367</v>
      </c>
      <c r="J17" s="306"/>
      <c r="K17" s="306" t="s">
        <v>379</v>
      </c>
    </row>
    <row r="18" ht="22.5" customHeight="1">
      <c r="B18" s="23" t="s">
        <v>380</v>
      </c>
      <c r="D18" s="306"/>
      <c r="E18" s="170" t="s">
        <v>381</v>
      </c>
      <c r="F18" s="170">
        <v>2.5</v>
      </c>
      <c r="G18" s="170">
        <v>2.5</v>
      </c>
      <c r="H18" s="170">
        <v>4.0</v>
      </c>
      <c r="I18" s="170">
        <v>6.0</v>
      </c>
      <c r="J18" s="306"/>
    </row>
    <row r="19" ht="22.5" customHeight="1">
      <c r="D19" s="306"/>
      <c r="E19" s="170" t="s">
        <v>382</v>
      </c>
      <c r="F19" s="170">
        <v>2.5</v>
      </c>
      <c r="G19" s="170">
        <v>4.0</v>
      </c>
      <c r="H19" s="170">
        <v>6.0</v>
      </c>
      <c r="I19" s="170">
        <v>10.0</v>
      </c>
      <c r="J19" s="306"/>
    </row>
    <row r="20" ht="22.5" customHeight="1">
      <c r="D20" s="306"/>
      <c r="E20" s="170" t="s">
        <v>383</v>
      </c>
      <c r="F20" s="170">
        <v>4.0</v>
      </c>
      <c r="G20" s="170">
        <v>6.0</v>
      </c>
      <c r="H20" s="170">
        <v>10.0</v>
      </c>
      <c r="I20" s="170">
        <v>16.0</v>
      </c>
      <c r="J20" s="306"/>
      <c r="K20" s="306"/>
      <c r="L20" s="306"/>
      <c r="M20" s="306"/>
      <c r="N20" s="306"/>
      <c r="O20" s="306"/>
    </row>
    <row r="21" ht="22.5" customHeight="1">
      <c r="D21" s="306"/>
      <c r="E21" s="170" t="s">
        <v>373</v>
      </c>
      <c r="F21" s="170">
        <v>6.0</v>
      </c>
      <c r="G21" s="170">
        <v>10.0</v>
      </c>
      <c r="H21" s="170">
        <v>16.0</v>
      </c>
      <c r="I21" s="170">
        <v>25.0</v>
      </c>
      <c r="J21" s="306"/>
      <c r="K21" s="306"/>
      <c r="L21" s="306"/>
      <c r="M21" s="306"/>
      <c r="N21" s="306"/>
      <c r="O21" s="306"/>
    </row>
    <row r="22" ht="22.5" customHeight="1">
      <c r="C22" s="306"/>
      <c r="D22" s="306"/>
      <c r="E22" s="170" t="s">
        <v>384</v>
      </c>
      <c r="F22" s="170">
        <v>10.0</v>
      </c>
      <c r="G22" s="170">
        <v>16.0</v>
      </c>
      <c r="H22" s="170">
        <v>25.0</v>
      </c>
      <c r="I22" s="170">
        <v>35.0</v>
      </c>
      <c r="J22" s="306"/>
      <c r="K22" s="306"/>
      <c r="L22" s="306"/>
      <c r="M22" s="306"/>
      <c r="N22" s="306"/>
      <c r="O22" s="306"/>
    </row>
    <row r="23">
      <c r="B23" s="306"/>
      <c r="C23" s="306"/>
      <c r="D23" s="306"/>
      <c r="E23" s="306"/>
      <c r="F23" s="306"/>
      <c r="G23" s="306"/>
      <c r="H23" s="306"/>
      <c r="I23" s="306"/>
      <c r="J23" s="306"/>
      <c r="K23" s="306"/>
      <c r="L23" s="306"/>
      <c r="M23" s="306"/>
      <c r="N23" s="306"/>
      <c r="O23" s="306"/>
    </row>
    <row r="24"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</row>
    <row r="27" ht="22.5" customHeight="1">
      <c r="B27" s="152" t="s">
        <v>385</v>
      </c>
      <c r="C27" s="153" t="s">
        <v>386</v>
      </c>
      <c r="D27" s="307" t="s">
        <v>313</v>
      </c>
    </row>
    <row r="28" ht="22.5" customHeight="1">
      <c r="B28" s="161" t="s">
        <v>387</v>
      </c>
      <c r="C28" s="234">
        <v>11.0</v>
      </c>
      <c r="D28" s="277" t="s">
        <v>323</v>
      </c>
    </row>
    <row r="29" ht="22.5" customHeight="1">
      <c r="B29" s="161" t="s">
        <v>388</v>
      </c>
      <c r="C29" s="234">
        <v>1.56</v>
      </c>
      <c r="D29" s="277" t="s">
        <v>389</v>
      </c>
    </row>
    <row r="30" ht="22.5" customHeight="1">
      <c r="B30" s="161" t="s">
        <v>390</v>
      </c>
      <c r="C30" s="234">
        <f>C28*C29</f>
        <v>17.16</v>
      </c>
      <c r="D30" s="277" t="s">
        <v>323</v>
      </c>
    </row>
    <row r="31" ht="22.5" customHeight="1">
      <c r="B31" s="308" t="s">
        <v>391</v>
      </c>
      <c r="C31" s="333">
        <v>10.0</v>
      </c>
      <c r="D31" s="277" t="s">
        <v>392</v>
      </c>
    </row>
    <row r="32" ht="22.5" customHeight="1">
      <c r="B32" s="308" t="s">
        <v>393</v>
      </c>
      <c r="C32" s="333">
        <v>42.5</v>
      </c>
      <c r="D32" s="277" t="s">
        <v>317</v>
      </c>
    </row>
    <row r="33" ht="22.5" customHeight="1">
      <c r="B33" s="308" t="s">
        <v>394</v>
      </c>
      <c r="C33" s="333">
        <v>8.0</v>
      </c>
      <c r="D33" s="277"/>
    </row>
    <row r="34" ht="22.5" customHeight="1">
      <c r="B34" s="308" t="s">
        <v>395</v>
      </c>
      <c r="C34" s="334">
        <f>C32*C33</f>
        <v>340</v>
      </c>
      <c r="D34" s="277" t="s">
        <v>317</v>
      </c>
    </row>
    <row r="35" ht="22.5" customHeight="1">
      <c r="B35" s="335" t="s">
        <v>396</v>
      </c>
      <c r="C35" s="336">
        <f>2*C31*C30*0.00461</f>
        <v>1.582152</v>
      </c>
      <c r="D35" s="337" t="s">
        <v>317</v>
      </c>
    </row>
    <row r="36" ht="22.5" customHeight="1">
      <c r="B36" s="338" t="s">
        <v>397</v>
      </c>
      <c r="C36" s="339">
        <f>(C35/C34)*100</f>
        <v>0.4653388235</v>
      </c>
      <c r="D36" s="340" t="s">
        <v>389</v>
      </c>
    </row>
    <row r="41" ht="22.5" customHeight="1">
      <c r="B41" s="152" t="s">
        <v>398</v>
      </c>
      <c r="C41" s="153" t="s">
        <v>399</v>
      </c>
      <c r="D41" s="307" t="s">
        <v>313</v>
      </c>
    </row>
    <row r="42" ht="22.5" customHeight="1">
      <c r="B42" s="161" t="s">
        <v>400</v>
      </c>
      <c r="C42" s="234">
        <v>5000.0</v>
      </c>
      <c r="D42" s="277" t="s">
        <v>401</v>
      </c>
    </row>
    <row r="43" ht="22.5" customHeight="1">
      <c r="B43" s="161" t="s">
        <v>402</v>
      </c>
      <c r="C43" s="234">
        <v>230.0</v>
      </c>
      <c r="D43" s="277" t="s">
        <v>323</v>
      </c>
    </row>
    <row r="44" ht="22.5" customHeight="1">
      <c r="B44" s="161" t="s">
        <v>403</v>
      </c>
      <c r="C44" s="234">
        <v>0.97</v>
      </c>
      <c r="D44" s="277" t="s">
        <v>389</v>
      </c>
    </row>
    <row r="45" ht="22.5" customHeight="1">
      <c r="B45" s="161" t="s">
        <v>404</v>
      </c>
      <c r="C45" s="234">
        <v>0.9</v>
      </c>
      <c r="D45" s="277" t="s">
        <v>323</v>
      </c>
    </row>
    <row r="46" ht="22.5" customHeight="1">
      <c r="B46" s="341" t="s">
        <v>390</v>
      </c>
      <c r="C46" s="342">
        <f>C42/C43*C44*C45</f>
        <v>18.97826087</v>
      </c>
      <c r="D46" s="343" t="s">
        <v>323</v>
      </c>
    </row>
    <row r="47" ht="22.5" customHeight="1">
      <c r="B47" s="308" t="s">
        <v>391</v>
      </c>
      <c r="C47" s="333">
        <v>10.0</v>
      </c>
      <c r="D47" s="277" t="s">
        <v>392</v>
      </c>
    </row>
    <row r="48" ht="22.5" customHeight="1">
      <c r="B48" s="335" t="s">
        <v>396</v>
      </c>
      <c r="C48" s="336">
        <f>2*C47*C46*0.00461</f>
        <v>1.749795652</v>
      </c>
      <c r="D48" s="337" t="s">
        <v>317</v>
      </c>
    </row>
    <row r="49" ht="22.5" customHeight="1">
      <c r="B49" s="338" t="s">
        <v>397</v>
      </c>
      <c r="C49" s="339">
        <f>(C48/C43)*100</f>
        <v>0.7607807183</v>
      </c>
      <c r="D49" s="340" t="s">
        <v>389</v>
      </c>
    </row>
    <row r="50" ht="22.5" customHeight="1">
      <c r="B50" s="308" t="s">
        <v>405</v>
      </c>
      <c r="C50" s="333">
        <f>(SQRT(3))*C47*C46*0.00461</f>
        <v>1.515367486</v>
      </c>
      <c r="D50" s="170"/>
    </row>
    <row r="51" ht="22.5" customHeight="1">
      <c r="B51" s="170"/>
      <c r="C51" s="344"/>
      <c r="D51" s="170"/>
    </row>
  </sheetData>
  <mergeCells count="3">
    <mergeCell ref="K5:N7"/>
    <mergeCell ref="K17:O19"/>
    <mergeCell ref="B18:C21"/>
  </mergeCells>
  <dataValidations>
    <dataValidation type="custom" allowBlank="1" showDropDown="1" sqref="C28:C36 C42:C51">
      <formula1>AND(ISNUMBER(C28),(NOT(OR(NOT(ISERROR(DATEVALUE(C28))), AND(ISNUMBER(C28), LEFT(CELL("format", C28))="D")))))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20.0"/>
    <col customWidth="1" min="4" max="4" width="25.5"/>
    <col customWidth="1" min="5" max="5" width="18.25"/>
    <col customWidth="1" min="6" max="6" width="32.63"/>
  </cols>
  <sheetData>
    <row r="4" ht="22.5" customHeight="1">
      <c r="B4" s="152" t="s">
        <v>406</v>
      </c>
      <c r="C4" s="324" t="s">
        <v>407</v>
      </c>
      <c r="D4" s="324" t="s">
        <v>408</v>
      </c>
      <c r="E4" s="152" t="s">
        <v>181</v>
      </c>
      <c r="F4" s="153" t="s">
        <v>409</v>
      </c>
    </row>
    <row r="5" ht="22.5" customHeight="1">
      <c r="B5" s="161" t="s">
        <v>410</v>
      </c>
      <c r="C5" s="161">
        <v>700.0</v>
      </c>
      <c r="D5" s="345">
        <v>585.0</v>
      </c>
      <c r="E5" s="208" t="s">
        <v>411</v>
      </c>
      <c r="F5" s="161" t="s">
        <v>412</v>
      </c>
    </row>
    <row r="6" ht="22.5" customHeight="1">
      <c r="B6" s="161" t="s">
        <v>413</v>
      </c>
      <c r="C6" s="161">
        <v>41.5</v>
      </c>
      <c r="D6" s="345">
        <v>42.87</v>
      </c>
      <c r="E6" s="208" t="s">
        <v>317</v>
      </c>
      <c r="F6" s="161" t="s">
        <v>414</v>
      </c>
    </row>
    <row r="7" ht="22.5" customHeight="1">
      <c r="B7" s="161" t="s">
        <v>415</v>
      </c>
      <c r="C7" s="169">
        <f t="shared" ref="C7:D7" si="1">C5/C6</f>
        <v>16.86746988</v>
      </c>
      <c r="D7" s="328">
        <f t="shared" si="1"/>
        <v>13.64590623</v>
      </c>
      <c r="E7" s="208" t="s">
        <v>323</v>
      </c>
      <c r="F7" s="161" t="s">
        <v>416</v>
      </c>
    </row>
    <row r="8" ht="22.5" customHeight="1">
      <c r="B8" s="161" t="s">
        <v>417</v>
      </c>
      <c r="C8" s="161">
        <v>49.5</v>
      </c>
      <c r="D8" s="345">
        <v>52.3</v>
      </c>
      <c r="E8" s="208" t="s">
        <v>317</v>
      </c>
      <c r="F8" s="161" t="s">
        <v>418</v>
      </c>
    </row>
    <row r="9" ht="22.5" customHeight="1">
      <c r="B9" s="161" t="s">
        <v>387</v>
      </c>
      <c r="C9" s="161">
        <v>17.8</v>
      </c>
      <c r="D9" s="345">
        <v>13.75</v>
      </c>
      <c r="E9" s="208" t="s">
        <v>323</v>
      </c>
      <c r="F9" s="161" t="s">
        <v>419</v>
      </c>
    </row>
    <row r="12" ht="22.5" customHeight="1">
      <c r="B12" s="152" t="s">
        <v>420</v>
      </c>
      <c r="C12" s="152" t="s">
        <v>421</v>
      </c>
      <c r="D12" s="152" t="s">
        <v>422</v>
      </c>
      <c r="E12" s="152" t="s">
        <v>423</v>
      </c>
    </row>
    <row r="13" ht="22.5" customHeight="1">
      <c r="B13" s="161" t="s">
        <v>424</v>
      </c>
      <c r="C13" s="161">
        <v>249.0</v>
      </c>
      <c r="D13" s="161">
        <v>16.86</v>
      </c>
      <c r="E13" s="328">
        <f t="shared" ref="E13:E14" si="2">(C13*D13)/1000</f>
        <v>4.19814</v>
      </c>
    </row>
    <row r="14" ht="22.5" customHeight="1">
      <c r="B14" s="161" t="s">
        <v>425</v>
      </c>
      <c r="C14" s="161">
        <v>257.0</v>
      </c>
      <c r="D14" s="161">
        <v>13.64</v>
      </c>
      <c r="E14" s="328">
        <f t="shared" si="2"/>
        <v>3.50548</v>
      </c>
    </row>
    <row r="15" ht="22.5" customHeight="1">
      <c r="B15" s="161" t="s">
        <v>426</v>
      </c>
      <c r="C15" s="346"/>
      <c r="D15" s="346"/>
      <c r="E15" s="328">
        <f>SUM(Table10[Power Output(Kw)])</f>
        <v>7.70362</v>
      </c>
    </row>
    <row r="16">
      <c r="B16" s="347"/>
      <c r="C16" s="347"/>
      <c r="D16" s="347"/>
    </row>
    <row r="17">
      <c r="B17" s="347"/>
      <c r="C17" s="347"/>
      <c r="D17" s="347"/>
    </row>
    <row r="18">
      <c r="B18" s="348" t="s">
        <v>427</v>
      </c>
      <c r="C18" s="349"/>
      <c r="D18" s="349"/>
      <c r="E18" s="350"/>
    </row>
    <row r="19">
      <c r="B19" s="351"/>
      <c r="E19" s="352"/>
    </row>
    <row r="20">
      <c r="B20" s="351"/>
      <c r="E20" s="352"/>
    </row>
    <row r="21">
      <c r="B21" s="353"/>
      <c r="C21" s="354"/>
      <c r="D21" s="354"/>
      <c r="E21" s="355"/>
    </row>
  </sheetData>
  <mergeCells count="1">
    <mergeCell ref="B18:E21"/>
  </mergeCells>
  <dataValidations>
    <dataValidation type="custom" allowBlank="1" showDropDown="1" sqref="D5:D9 E13:E14">
      <formula1>AND(ISNUMBER(D5),(NOT(OR(NOT(ISERROR(DATEVALUE(D5))), AND(ISNUMBER(D5), LEFT(CELL("format", D5))="D")))))</formula1>
    </dataValidation>
  </dataValidations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25"/>
    <col customWidth="1" min="3" max="3" width="12.88"/>
  </cols>
  <sheetData>
    <row r="1">
      <c r="A1" s="356" t="s">
        <v>57</v>
      </c>
      <c r="B1" s="356">
        <v>8000.0</v>
      </c>
      <c r="C1" s="357"/>
      <c r="D1" s="126"/>
      <c r="E1" s="126"/>
      <c r="F1" s="126"/>
      <c r="G1" s="126"/>
      <c r="H1" s="126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  <c r="AA1" s="357"/>
    </row>
    <row r="2">
      <c r="A2" s="102" t="s">
        <v>428</v>
      </c>
      <c r="B2" s="102" t="s">
        <v>429</v>
      </c>
      <c r="C2" s="358"/>
      <c r="D2" s="102" t="s">
        <v>430</v>
      </c>
      <c r="E2" s="102" t="s">
        <v>431</v>
      </c>
      <c r="F2" s="102" t="s">
        <v>432</v>
      </c>
      <c r="G2" s="102" t="s">
        <v>433</v>
      </c>
      <c r="H2" s="102" t="s">
        <v>434</v>
      </c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  <c r="U2" s="357"/>
      <c r="V2" s="357"/>
      <c r="W2" s="357"/>
      <c r="X2" s="357"/>
      <c r="Y2" s="357"/>
      <c r="Z2" s="357"/>
      <c r="AA2" s="357"/>
    </row>
    <row r="3">
      <c r="A3" s="359" t="s">
        <v>435</v>
      </c>
      <c r="B3" s="23" t="s">
        <v>436</v>
      </c>
      <c r="C3" s="23" t="s">
        <v>437</v>
      </c>
      <c r="D3" s="23">
        <v>7900.0</v>
      </c>
      <c r="E3" s="360">
        <f>$B$1/475</f>
        <v>16.84210526</v>
      </c>
      <c r="F3" s="48">
        <f t="shared" ref="F3:F9" si="1">D3*E3</f>
        <v>133052.6316</v>
      </c>
      <c r="G3" s="37">
        <v>0.05</v>
      </c>
      <c r="H3" s="39">
        <f t="shared" ref="H3:H9" si="2">F3*(1+G3)</f>
        <v>139705.2632</v>
      </c>
    </row>
    <row r="4">
      <c r="B4" s="23" t="s">
        <v>438</v>
      </c>
      <c r="C4" s="23" t="s">
        <v>439</v>
      </c>
      <c r="D4" s="23">
        <v>550.0</v>
      </c>
      <c r="E4" s="360">
        <f>E3</f>
        <v>16.84210526</v>
      </c>
      <c r="F4" s="48">
        <f t="shared" si="1"/>
        <v>9263.157895</v>
      </c>
      <c r="G4" s="37">
        <v>0.05</v>
      </c>
      <c r="H4" s="39">
        <f t="shared" si="2"/>
        <v>9726.315789</v>
      </c>
    </row>
    <row r="5">
      <c r="B5" s="23" t="s">
        <v>440</v>
      </c>
      <c r="C5" s="23" t="s">
        <v>441</v>
      </c>
      <c r="D5" s="23">
        <v>690.0</v>
      </c>
      <c r="E5" s="23">
        <v>3.0</v>
      </c>
      <c r="F5" s="115">
        <f t="shared" si="1"/>
        <v>2070</v>
      </c>
      <c r="G5" s="37">
        <v>0.05</v>
      </c>
      <c r="H5" s="115">
        <f t="shared" si="2"/>
        <v>2173.5</v>
      </c>
    </row>
    <row r="6">
      <c r="C6" s="23" t="s">
        <v>442</v>
      </c>
      <c r="D6" s="23">
        <v>200.0</v>
      </c>
      <c r="E6" s="23">
        <v>1.0</v>
      </c>
      <c r="F6" s="115">
        <f t="shared" si="1"/>
        <v>200</v>
      </c>
      <c r="G6" s="37">
        <v>0.05</v>
      </c>
      <c r="H6" s="115">
        <f t="shared" si="2"/>
        <v>210</v>
      </c>
    </row>
    <row r="7">
      <c r="B7" s="23" t="s">
        <v>443</v>
      </c>
      <c r="C7" s="23" t="s">
        <v>444</v>
      </c>
      <c r="D7" s="23">
        <v>12400.0</v>
      </c>
      <c r="E7" s="23">
        <v>1.0</v>
      </c>
      <c r="F7" s="115">
        <f t="shared" si="1"/>
        <v>12400</v>
      </c>
      <c r="G7" s="37">
        <v>0.05</v>
      </c>
      <c r="H7" s="115">
        <f t="shared" si="2"/>
        <v>13020</v>
      </c>
    </row>
    <row r="8">
      <c r="B8" s="23" t="s">
        <v>445</v>
      </c>
      <c r="D8" s="23">
        <v>5150.0</v>
      </c>
      <c r="E8" s="23">
        <v>1.0</v>
      </c>
      <c r="F8" s="115">
        <f t="shared" si="1"/>
        <v>5150</v>
      </c>
      <c r="G8" s="37">
        <v>0.05</v>
      </c>
      <c r="H8" s="115">
        <f t="shared" si="2"/>
        <v>5407.5</v>
      </c>
    </row>
    <row r="9">
      <c r="B9" s="23" t="s">
        <v>446</v>
      </c>
      <c r="C9" s="23" t="s">
        <v>447</v>
      </c>
      <c r="D9" s="23">
        <v>1450.0</v>
      </c>
      <c r="E9" s="23">
        <v>4.0</v>
      </c>
      <c r="F9" s="115">
        <f t="shared" si="1"/>
        <v>5800</v>
      </c>
      <c r="G9" s="37">
        <v>0.05</v>
      </c>
      <c r="H9" s="115">
        <f t="shared" si="2"/>
        <v>6090</v>
      </c>
    </row>
    <row r="10">
      <c r="A10" s="117"/>
      <c r="H10" s="361">
        <f>SUM(H3:H9)/100000</f>
        <v>1.763325789</v>
      </c>
      <c r="I10" s="23" t="s">
        <v>448</v>
      </c>
    </row>
    <row r="11">
      <c r="A11" s="150" t="s">
        <v>449</v>
      </c>
      <c r="B11" s="23" t="s">
        <v>450</v>
      </c>
      <c r="C11" s="23" t="s">
        <v>451</v>
      </c>
      <c r="D11" s="23">
        <v>500.0</v>
      </c>
      <c r="E11" s="23">
        <v>5.0</v>
      </c>
      <c r="F11" s="115">
        <f t="shared" ref="F11:F13" si="3">D11*E11</f>
        <v>2500</v>
      </c>
      <c r="G11" s="37">
        <v>0.18</v>
      </c>
      <c r="H11" s="115">
        <f t="shared" ref="H11:H13" si="4">F11*(1+G11)</f>
        <v>2950</v>
      </c>
    </row>
    <row r="12">
      <c r="B12" s="23" t="s">
        <v>452</v>
      </c>
      <c r="C12" s="23" t="s">
        <v>453</v>
      </c>
      <c r="D12" s="23">
        <v>107000.0</v>
      </c>
      <c r="E12" s="23">
        <v>1.0</v>
      </c>
      <c r="F12" s="115">
        <f t="shared" si="3"/>
        <v>107000</v>
      </c>
      <c r="G12" s="37">
        <v>0.18</v>
      </c>
      <c r="H12" s="115">
        <f t="shared" si="4"/>
        <v>126260</v>
      </c>
    </row>
    <row r="13">
      <c r="B13" s="23" t="s">
        <v>454</v>
      </c>
      <c r="C13" s="23" t="s">
        <v>455</v>
      </c>
      <c r="D13" s="23">
        <v>290000.0</v>
      </c>
      <c r="E13" s="23">
        <v>1.0</v>
      </c>
      <c r="F13" s="115">
        <f t="shared" si="3"/>
        <v>290000</v>
      </c>
      <c r="G13" s="37">
        <v>0.18</v>
      </c>
      <c r="H13" s="115">
        <f t="shared" si="4"/>
        <v>342200</v>
      </c>
    </row>
    <row r="14">
      <c r="H14" s="361">
        <f>SUM(H10:H13)/100000</f>
        <v>4.714117633</v>
      </c>
      <c r="I14" s="23" t="s">
        <v>448</v>
      </c>
    </row>
    <row r="18">
      <c r="A18" s="41" t="s">
        <v>456</v>
      </c>
    </row>
    <row r="19">
      <c r="A19" s="23" t="s">
        <v>457</v>
      </c>
    </row>
    <row r="20">
      <c r="A20" s="23" t="s">
        <v>458</v>
      </c>
    </row>
  </sheetData>
  <mergeCells count="2">
    <mergeCell ref="A3:A9"/>
    <mergeCell ref="A11:A13"/>
  </mergeCells>
  <drawing r:id="rId1"/>
</worksheet>
</file>