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ters" sheetId="1" r:id="rId5"/>
    <sheet state="visible" name="HYBRID BoS" sheetId="2" r:id="rId6"/>
    <sheet state="visible" name="ON-GRID BoS" sheetId="3" r:id="rId7"/>
    <sheet state="visible" name="Notes" sheetId="4" r:id="rId8"/>
  </sheets>
  <definedNames/>
  <calcPr/>
</workbook>
</file>

<file path=xl/sharedStrings.xml><?xml version="1.0" encoding="utf-8"?>
<sst xmlns="http://schemas.openxmlformats.org/spreadsheetml/2006/main" count="247" uniqueCount="170">
  <si>
    <t>Deye - Ongrid Inverters - Price - March (2026)</t>
  </si>
  <si>
    <t>Sl No</t>
  </si>
  <si>
    <t>No of MPPT / Strings per MPPT</t>
  </si>
  <si>
    <t>Models</t>
  </si>
  <si>
    <t>Dealer / MSP (10-20 Pcs) (INR)</t>
  </si>
  <si>
    <t>EPC Price (1 Pcs - 5 Pcs) (INR)</t>
  </si>
  <si>
    <t>Price difference</t>
  </si>
  <si>
    <t>%</t>
  </si>
  <si>
    <t>1 MPPT / 1 String</t>
  </si>
  <si>
    <t>1.5KW Single Phase</t>
  </si>
  <si>
    <t>2.2KW Single Phase</t>
  </si>
  <si>
    <t>3KW Single Phase</t>
  </si>
  <si>
    <t>3.3KW Single Phase</t>
  </si>
  <si>
    <t>3.6KW Single Phase</t>
  </si>
  <si>
    <t>4KW Single Phase</t>
  </si>
  <si>
    <t>2 MPPT / 1 String</t>
  </si>
  <si>
    <t>5KW Single Phase</t>
  </si>
  <si>
    <t>5KW Three Phase</t>
  </si>
  <si>
    <t>6KW Three Phase</t>
  </si>
  <si>
    <t>8KW Three Phase</t>
  </si>
  <si>
    <t>10KW Three Phase</t>
  </si>
  <si>
    <t>12KW Three Phase</t>
  </si>
  <si>
    <t>2 MPPT / 1 String + 2</t>
  </si>
  <si>
    <t>15KW Three Phase</t>
  </si>
  <si>
    <t>2 MPPT / 3 String</t>
  </si>
  <si>
    <t>18KW Three Phase</t>
  </si>
  <si>
    <t>20KW Three Phase</t>
  </si>
  <si>
    <t>25KW Three Phase</t>
  </si>
  <si>
    <t>33KW Three Phase</t>
  </si>
  <si>
    <t>3 MPPT / 3 String</t>
  </si>
  <si>
    <t>40KW Three Phase</t>
  </si>
  <si>
    <t>4 MPPT / 3 String</t>
  </si>
  <si>
    <t>50KW Three Phase</t>
  </si>
  <si>
    <t>60KW Three Phase</t>
  </si>
  <si>
    <t>4 MPPT / 4 String</t>
  </si>
  <si>
    <t>80KW Three Phase</t>
  </si>
  <si>
    <t>90KW Three Phase</t>
  </si>
  <si>
    <t>100KW Three Phase</t>
  </si>
  <si>
    <t>6 MPPT / 4 String</t>
  </si>
  <si>
    <t>110KW Three Phase</t>
  </si>
  <si>
    <t>8 MPPT / 4 String</t>
  </si>
  <si>
    <t>125KW Three Phase</t>
  </si>
  <si>
    <t>136KW Three Phase</t>
  </si>
  <si>
    <t>Deye - Micro Inverters - Price - March (2026)</t>
  </si>
  <si>
    <t>Phase</t>
  </si>
  <si>
    <t>Micro Inverter - Ongrid</t>
  </si>
  <si>
    <t>1000W</t>
  </si>
  <si>
    <t>2200W</t>
  </si>
  <si>
    <t>Micro Inverter - Hybrid</t>
  </si>
  <si>
    <t>Deye - Hybrid Inverters - Price - March (2026)</t>
  </si>
  <si>
    <t>3KW - 24V - LV - Single Phase</t>
  </si>
  <si>
    <t>3KW - 48V - LV - Single Phase</t>
  </si>
  <si>
    <t>3.6KW - 48V - LV - Single Phase</t>
  </si>
  <si>
    <t>5KW - 48V - LV - Single Phase</t>
  </si>
  <si>
    <t>6KW - 48V - LV - Single Phase</t>
  </si>
  <si>
    <t>8KW - 48V - LV - Single Phase</t>
  </si>
  <si>
    <t>8KW - 48V - LV - Three Phase</t>
  </si>
  <si>
    <t>2 MPPT / 2 + 1 String</t>
  </si>
  <si>
    <t>10KW - 48V - LV - Three Phase</t>
  </si>
  <si>
    <t>12KW - 48V - LV - Three Phase</t>
  </si>
  <si>
    <t>15KW - 48V - LV - Three Phase</t>
  </si>
  <si>
    <t>20KW - 48V - LV - Three Phase</t>
  </si>
  <si>
    <t>3 MPPT / 2 String</t>
  </si>
  <si>
    <t>30KW - HV - Hybrid Inverter</t>
  </si>
  <si>
    <t>4 MPPT / 2 String</t>
  </si>
  <si>
    <t>40KW - HV - Hybrid Inverter</t>
  </si>
  <si>
    <t>50KW - HV - Hybrid Inverter</t>
  </si>
  <si>
    <t>6 MPPT / 2+2+2+2+2+2</t>
  </si>
  <si>
    <t>60KW - HV - Hybrid Inverter</t>
  </si>
  <si>
    <t>70KW - HV - Hybrid Inverter</t>
  </si>
  <si>
    <t>80KW - HV - Hybrid Inverter</t>
  </si>
  <si>
    <t>100KW - HV Hybrid Inverter</t>
  </si>
  <si>
    <t>125KW - HV Hybrid Inverter</t>
  </si>
  <si>
    <t>Deye - Batteries - Price - March (2026)</t>
  </si>
  <si>
    <t>Type of Batteries</t>
  </si>
  <si>
    <t>LV Battery - LiFePO4 (6000 Cycles)</t>
  </si>
  <si>
    <t>SE - F5 Plus</t>
  </si>
  <si>
    <t>SE - F12</t>
  </si>
  <si>
    <t>SE - F16</t>
  </si>
  <si>
    <t>HV Battery - LiFePO4 (6000 Cycles)</t>
  </si>
  <si>
    <t>BOS-GM5.1 - HV Battery Unit (Rack mount)</t>
  </si>
  <si>
    <t>HV BMS Unit</t>
  </si>
  <si>
    <t>Cluster Control Box</t>
  </si>
  <si>
    <t>HV Battery Stand</t>
  </si>
  <si>
    <t>BOS-G Rack 3U - LRACK (9 Layer)</t>
  </si>
  <si>
    <t>BOS-G Rack 3U - HRACK (13 Layer)</t>
  </si>
  <si>
    <t>C&amp;I Solution</t>
  </si>
  <si>
    <t>BOS-B Pro (241Kwh)</t>
  </si>
  <si>
    <t>PCS (100K)</t>
  </si>
  <si>
    <t>PCS (125K)</t>
  </si>
  <si>
    <t>MPPT</t>
  </si>
  <si>
    <t>STS (500K)</t>
  </si>
  <si>
    <t>In Door HV Solution</t>
  </si>
  <si>
    <t>BOS-A</t>
  </si>
  <si>
    <t>BOS-A BMS</t>
  </si>
  <si>
    <t>Rack (10 + 1)</t>
  </si>
  <si>
    <t>Rack (13 + 1)</t>
  </si>
  <si>
    <t>FESTA SOLAR - SOLAR HYBRID - BOS ITEMS</t>
  </si>
  <si>
    <t>Sl.No</t>
  </si>
  <si>
    <t>Inverter Specification</t>
  </si>
  <si>
    <t>DCDB Configuration</t>
  </si>
  <si>
    <t>ACDB Configuration</t>
  </si>
  <si>
    <t>DCDB Price (INR)</t>
  </si>
  <si>
    <t>ACDB Price (INR)</t>
  </si>
  <si>
    <t>Battery Box with DC MCCB (INR)</t>
  </si>
  <si>
    <t>Total (INR)</t>
  </si>
  <si>
    <t>3KWp - Single Phase</t>
  </si>
  <si>
    <t>1 IN 1 OUT-500V
(1 MCB &amp; 1 SPD)</t>
  </si>
  <si>
    <t>1 IN 1 OUT-Single Phase
with Change over</t>
  </si>
  <si>
    <t>3.6KW-5KWp-Single Phase</t>
  </si>
  <si>
    <t>2 IN 2 OUT-500V
(2 MCB &amp; 2 SPD)</t>
  </si>
  <si>
    <t>6KWp-Single Phase</t>
  </si>
  <si>
    <t>8KWp-Single Phase</t>
  </si>
  <si>
    <t>8KWp-Three Phase</t>
  </si>
  <si>
    <t>1 IN 1 OUT-Three Phase
with Change over</t>
  </si>
  <si>
    <t>10-12KWp - Three phase</t>
  </si>
  <si>
    <t>2 IN 2 OUT-1000V
(2 MCB &amp; 2 SPD)</t>
  </si>
  <si>
    <t>15KWp-Three Phase</t>
  </si>
  <si>
    <t>3 IN 3 OUT-1000V
(2 MCB &amp; 2 SPD)</t>
  </si>
  <si>
    <t>-</t>
  </si>
  <si>
    <t>20 kwp - Three phase</t>
  </si>
  <si>
    <t>4 IN 4 OUT-1000V
(2 MCB &amp; 2 SPD)</t>
  </si>
  <si>
    <t>Battery Combiner Box</t>
  </si>
  <si>
    <t>Cu. Bar 40x10 mm</t>
  </si>
  <si>
    <t>FESTA SOLAR - ON GRID - BOS PRICE LIST</t>
  </si>
  <si>
    <t>Combo Pricing (INR)</t>
  </si>
  <si>
    <t>1-3KWp - Single Phase
1MPPT/1STRING</t>
  </si>
  <si>
    <t>1 IN 1 OUT-500V</t>
  </si>
  <si>
    <t>1 IN 1 OUT-Single Phase-
25AMCB</t>
  </si>
  <si>
    <t>5KWp - Single Phase
1MPPT/2STRING</t>
  </si>
  <si>
    <t>1 IN 1 OUT 1000V, 1 MCB
&amp;1SPD</t>
  </si>
  <si>
    <t>1 IN 1 OUT-Single Phase-
32AMCB</t>
  </si>
  <si>
    <t>5-8KWp - three Phase
2MPPT/2STRING</t>
  </si>
  <si>
    <t>2 IN 2 OUT 2 MCB &amp;
SPD(500V)</t>
  </si>
  <si>
    <t>1 IN 1 OUT-three
Phase-20AMCB</t>
  </si>
  <si>
    <t>10-12kwp - three phase
2MPPT/2STRING</t>
  </si>
  <si>
    <t>2 IN 2 OUT 2 MCB &amp;
SPD(1000V)</t>
  </si>
  <si>
    <t>1 IN 1 OUT-three
Phase-32AMCB</t>
  </si>
  <si>
    <t>15-20kwp - three phase
2MPPT/2STRING</t>
  </si>
  <si>
    <t>3 IN 3 OUT 2 MCB &amp;
SPD(1000V)</t>
  </si>
  <si>
    <t>1 IN 1 OUT-three
Phase-40AMCB</t>
  </si>
  <si>
    <t>25-33kwp - three phase
2MPPT/2STRING</t>
  </si>
  <si>
    <t>4 IN 4 OUT 2 MCB &amp;
SPD(1000V)</t>
  </si>
  <si>
    <t>1 IN 1 OUT-three
Phase-63AMCB</t>
  </si>
  <si>
    <t>40kwp -three phase
3MPPT/3STRING</t>
  </si>
  <si>
    <t>6 IN 6 OUT 3 MCB &amp;
SPD(1000V)</t>
  </si>
  <si>
    <t>1 IN 1 OUT-three
Phase-100AMCCB</t>
  </si>
  <si>
    <t>50kwp -three phase
4MPPT/3STRING</t>
  </si>
  <si>
    <t>6 IN 6 OUT 4 MCB &amp;
SPD(1000V)</t>
  </si>
  <si>
    <t>60kwp -three phase
4MPPT/3STRING</t>
  </si>
  <si>
    <t>8 IN 8 OUT 4 MCB &amp;
SPD(1000V)</t>
  </si>
  <si>
    <t>1 IN 1 OUT-three
Phase-125AMCCB</t>
  </si>
  <si>
    <t>80kwp -three phase
4MPPT/4STRING</t>
  </si>
  <si>
    <t>10 IN 10 OUT 4 MCB &amp;
SPD(1000V)</t>
  </si>
  <si>
    <t>1 IN 1 OUT-three
Phase-160AMCCB</t>
  </si>
  <si>
    <t>90-100kwp -three phase
6MPPT/4STRING</t>
  </si>
  <si>
    <t>12 IN 12 OUT 6 MCB &amp;
SPD(1000V)</t>
  </si>
  <si>
    <t>1 IN 1 OUT-three
Phase-200AMCCB</t>
  </si>
  <si>
    <t>110kwp -three phase
6MPPT/4STRING</t>
  </si>
  <si>
    <t>14 IN 14 OUT 6 MCB &amp;
SPD(1000V)</t>
  </si>
  <si>
    <t>1 IN 1 OUT-three
Phase-250AMCCB</t>
  </si>
  <si>
    <t>125kwp -three phase
8MPPT/4STRING</t>
  </si>
  <si>
    <t>16 IN 16 OUT 8 MCB &amp;
SPD(1000V)</t>
  </si>
  <si>
    <t>136kwp -three phase
8MPPT/4STRING</t>
  </si>
  <si>
    <t>Note</t>
  </si>
  <si>
    <t>Data was manually extracted from the provided images. Please cross-check values against the original images before issuing quotations.</t>
  </si>
  <si>
    <t>Currency</t>
  </si>
  <si>
    <t>INR</t>
  </si>
  <si>
    <t>Generated for</t>
  </si>
  <si>
    <t>Separate Excel file from image extraction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</si>
</sst>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3.0"/>
      <color rgb="FFFFFFFF"/>
      <name val="Carlito"/>
    </font>
    <font>
      <color theme="1"/>
      <name val="Carlito"/>
      <scheme val="minor"/>
    </font>
    <font>
      <b/>
      <sz val="11.0"/>
      <color theme="1"/>
      <name val="Carlito"/>
    </font>
    <font>
      <b/>
      <color theme="1"/>
      <name val="Carlito"/>
      <scheme val="minor"/>
    </font>
    <font>
      <sz val="11.0"/>
      <color theme="1"/>
      <name val="Carlito"/>
    </font>
    <font>
      <b/>
      <sz val="11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10" xfId="0" applyFont="1" applyNumberFormat="1"/>
    <xf borderId="0" fillId="3" fontId="3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wrapText="1"/>
    </xf>
    <xf borderId="0" fillId="4" fontId="5" numFmtId="0" xfId="0" applyAlignment="1" applyFill="1" applyFont="1">
      <alignment shrinkToFit="0" wrapText="1"/>
    </xf>
    <xf borderId="0" fillId="0" fontId="2" numFmtId="0" xfId="0" applyFont="1"/>
    <xf borderId="0" fillId="2" fontId="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3" fontId="3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center" readingOrder="0" vertical="bottom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8.0"/>
    <col customWidth="1" min="3" max="3" width="42.0"/>
    <col customWidth="1" min="4" max="6" width="18.0"/>
    <col customWidth="1" min="7" max="26" width="8.63"/>
  </cols>
  <sheetData>
    <row r="1">
      <c r="A1" s="1" t="s">
        <v>0</v>
      </c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</row>
    <row r="3">
      <c r="A3" s="5">
        <v>1.0</v>
      </c>
      <c r="B3" s="5" t="s">
        <v>8</v>
      </c>
      <c r="C3" s="6" t="s">
        <v>9</v>
      </c>
      <c r="D3" s="5">
        <v>14350.0</v>
      </c>
      <c r="E3" s="5">
        <v>14602.0</v>
      </c>
      <c r="F3" s="7">
        <f t="shared" ref="F3:F28" si="1">E3-D3</f>
        <v>252</v>
      </c>
      <c r="G3" s="2">
        <f t="shared" ref="G3:G28" si="2">F3/E3</f>
        <v>0.01725790988</v>
      </c>
    </row>
    <row r="4">
      <c r="A4" s="5">
        <v>2.0</v>
      </c>
      <c r="B4" s="5" t="s">
        <v>8</v>
      </c>
      <c r="C4" s="6" t="s">
        <v>10</v>
      </c>
      <c r="D4" s="5">
        <v>14485.0</v>
      </c>
      <c r="E4" s="5">
        <v>14739.0</v>
      </c>
      <c r="F4" s="7">
        <f t="shared" si="1"/>
        <v>254</v>
      </c>
      <c r="G4" s="2">
        <f t="shared" si="2"/>
        <v>0.01723319085</v>
      </c>
    </row>
    <row r="5">
      <c r="A5" s="5">
        <v>3.0</v>
      </c>
      <c r="B5" s="5" t="s">
        <v>8</v>
      </c>
      <c r="C5" s="6" t="s">
        <v>11</v>
      </c>
      <c r="D5" s="5">
        <v>14891.0</v>
      </c>
      <c r="E5" s="5">
        <v>15153.0</v>
      </c>
      <c r="F5" s="7">
        <f t="shared" si="1"/>
        <v>262</v>
      </c>
      <c r="G5" s="2">
        <f t="shared" si="2"/>
        <v>0.01729030555</v>
      </c>
    </row>
    <row r="6">
      <c r="A6" s="5">
        <v>4.0</v>
      </c>
      <c r="B6" s="5" t="s">
        <v>8</v>
      </c>
      <c r="C6" s="6" t="s">
        <v>12</v>
      </c>
      <c r="D6" s="5">
        <v>15162.0</v>
      </c>
      <c r="E6" s="5">
        <v>15428.0</v>
      </c>
      <c r="F6" s="7">
        <f t="shared" si="1"/>
        <v>266</v>
      </c>
      <c r="G6" s="2">
        <f t="shared" si="2"/>
        <v>0.01724137931</v>
      </c>
    </row>
    <row r="7">
      <c r="A7" s="5">
        <v>5.0</v>
      </c>
      <c r="B7" s="5" t="s">
        <v>8</v>
      </c>
      <c r="C7" s="6" t="s">
        <v>13</v>
      </c>
      <c r="D7" s="5">
        <v>16245.0</v>
      </c>
      <c r="E7" s="5">
        <v>16530.0</v>
      </c>
      <c r="F7" s="7">
        <f t="shared" si="1"/>
        <v>285</v>
      </c>
      <c r="G7" s="2">
        <f t="shared" si="2"/>
        <v>0.01724137931</v>
      </c>
    </row>
    <row r="8">
      <c r="A8" s="5">
        <v>6.0</v>
      </c>
      <c r="B8" s="5" t="s">
        <v>8</v>
      </c>
      <c r="C8" s="6" t="s">
        <v>14</v>
      </c>
      <c r="D8" s="5">
        <v>17193.0</v>
      </c>
      <c r="E8" s="5">
        <v>17494.0</v>
      </c>
      <c r="F8" s="7">
        <f t="shared" si="1"/>
        <v>301</v>
      </c>
      <c r="G8" s="2">
        <f t="shared" si="2"/>
        <v>0.01720589917</v>
      </c>
    </row>
    <row r="9">
      <c r="A9" s="5">
        <v>7.0</v>
      </c>
      <c r="B9" s="5" t="s">
        <v>15</v>
      </c>
      <c r="C9" s="6" t="s">
        <v>16</v>
      </c>
      <c r="D9" s="5">
        <v>23961.0</v>
      </c>
      <c r="E9" s="5">
        <v>24382.0</v>
      </c>
      <c r="F9" s="7">
        <f t="shared" si="1"/>
        <v>421</v>
      </c>
      <c r="G9" s="2">
        <f t="shared" si="2"/>
        <v>0.01726683619</v>
      </c>
    </row>
    <row r="10">
      <c r="A10" s="5">
        <v>8.0</v>
      </c>
      <c r="B10" s="5" t="s">
        <v>15</v>
      </c>
      <c r="C10" s="6" t="s">
        <v>17</v>
      </c>
      <c r="D10" s="5">
        <v>41336.0</v>
      </c>
      <c r="E10" s="5">
        <v>42008.0</v>
      </c>
      <c r="F10" s="7">
        <f t="shared" si="1"/>
        <v>672</v>
      </c>
      <c r="G10" s="2">
        <f t="shared" si="2"/>
        <v>0.01599695296</v>
      </c>
    </row>
    <row r="11">
      <c r="A11" s="5">
        <v>9.0</v>
      </c>
      <c r="B11" s="5" t="s">
        <v>15</v>
      </c>
      <c r="C11" s="6" t="s">
        <v>18</v>
      </c>
      <c r="D11" s="5">
        <v>42796.0</v>
      </c>
      <c r="E11" s="5">
        <v>43492.0</v>
      </c>
      <c r="F11" s="7">
        <f t="shared" si="1"/>
        <v>696</v>
      </c>
      <c r="G11" s="2">
        <f t="shared" si="2"/>
        <v>0.01600294307</v>
      </c>
    </row>
    <row r="12">
      <c r="A12" s="5">
        <v>10.0</v>
      </c>
      <c r="B12" s="5" t="s">
        <v>15</v>
      </c>
      <c r="C12" s="6" t="s">
        <v>19</v>
      </c>
      <c r="D12" s="5">
        <v>44403.0</v>
      </c>
      <c r="E12" s="5">
        <v>45125.0</v>
      </c>
      <c r="F12" s="7">
        <f t="shared" si="1"/>
        <v>722</v>
      </c>
      <c r="G12" s="2">
        <f t="shared" si="2"/>
        <v>0.016</v>
      </c>
    </row>
    <row r="13">
      <c r="A13" s="5">
        <v>11.0</v>
      </c>
      <c r="B13" s="5" t="s">
        <v>15</v>
      </c>
      <c r="C13" s="6" t="s">
        <v>20</v>
      </c>
      <c r="D13" s="5">
        <v>46010.0</v>
      </c>
      <c r="E13" s="5">
        <v>46758.0</v>
      </c>
      <c r="F13" s="7">
        <f t="shared" si="1"/>
        <v>748</v>
      </c>
      <c r="G13" s="2">
        <f t="shared" si="2"/>
        <v>0.0159972625</v>
      </c>
    </row>
    <row r="14">
      <c r="A14" s="5">
        <v>12.0</v>
      </c>
      <c r="B14" s="5" t="s">
        <v>15</v>
      </c>
      <c r="C14" s="6" t="s">
        <v>21</v>
      </c>
      <c r="D14" s="5">
        <v>47470.0</v>
      </c>
      <c r="E14" s="5">
        <v>48242.0</v>
      </c>
      <c r="F14" s="7">
        <f t="shared" si="1"/>
        <v>772</v>
      </c>
      <c r="G14" s="2">
        <f t="shared" si="2"/>
        <v>0.01600265329</v>
      </c>
    </row>
    <row r="15">
      <c r="A15" s="5">
        <v>13.0</v>
      </c>
      <c r="B15" s="5" t="s">
        <v>22</v>
      </c>
      <c r="C15" s="6" t="s">
        <v>23</v>
      </c>
      <c r="D15" s="5">
        <v>56234.0</v>
      </c>
      <c r="E15" s="5">
        <v>57148.0</v>
      </c>
      <c r="F15" s="7">
        <f t="shared" si="1"/>
        <v>914</v>
      </c>
      <c r="G15" s="2">
        <f t="shared" si="2"/>
        <v>0.01599356058</v>
      </c>
    </row>
    <row r="16">
      <c r="A16" s="5">
        <v>14.0</v>
      </c>
      <c r="B16" s="5" t="s">
        <v>24</v>
      </c>
      <c r="C16" s="6" t="s">
        <v>25</v>
      </c>
      <c r="D16" s="5">
        <v>59886.0</v>
      </c>
      <c r="E16" s="5">
        <v>60859.0</v>
      </c>
      <c r="F16" s="7">
        <f t="shared" si="1"/>
        <v>973</v>
      </c>
      <c r="G16" s="2">
        <f t="shared" si="2"/>
        <v>0.01598777502</v>
      </c>
    </row>
    <row r="17">
      <c r="A17" s="5">
        <v>15.0</v>
      </c>
      <c r="B17" s="5" t="s">
        <v>24</v>
      </c>
      <c r="C17" s="6" t="s">
        <v>26</v>
      </c>
      <c r="D17" s="5">
        <v>63537.0</v>
      </c>
      <c r="E17" s="5">
        <v>64570.0</v>
      </c>
      <c r="F17" s="7">
        <f t="shared" si="1"/>
        <v>1033</v>
      </c>
      <c r="G17" s="2">
        <f t="shared" si="2"/>
        <v>0.01599814155</v>
      </c>
    </row>
    <row r="18">
      <c r="A18" s="5">
        <v>16.0</v>
      </c>
      <c r="B18" s="5" t="s">
        <v>24</v>
      </c>
      <c r="C18" s="5" t="s">
        <v>27</v>
      </c>
      <c r="D18" s="5">
        <v>68649.0</v>
      </c>
      <c r="E18" s="5">
        <v>69766.0</v>
      </c>
      <c r="F18" s="7">
        <f t="shared" si="1"/>
        <v>1117</v>
      </c>
      <c r="G18" s="2">
        <f t="shared" si="2"/>
        <v>0.01601066422</v>
      </c>
    </row>
    <row r="19">
      <c r="A19" s="5">
        <v>17.0</v>
      </c>
      <c r="B19" s="5" t="s">
        <v>24</v>
      </c>
      <c r="C19" s="5" t="s">
        <v>28</v>
      </c>
      <c r="D19" s="5">
        <v>77349.0</v>
      </c>
      <c r="E19" s="5">
        <v>78606.0</v>
      </c>
      <c r="F19" s="7">
        <f t="shared" si="1"/>
        <v>1257</v>
      </c>
      <c r="G19" s="2">
        <f t="shared" si="2"/>
        <v>0.01599114571</v>
      </c>
    </row>
    <row r="20">
      <c r="A20" s="5">
        <v>18.0</v>
      </c>
      <c r="B20" s="5" t="s">
        <v>29</v>
      </c>
      <c r="C20" s="5" t="s">
        <v>30</v>
      </c>
      <c r="D20" s="5">
        <v>99489.0</v>
      </c>
      <c r="E20" s="5">
        <v>101175.0</v>
      </c>
      <c r="F20" s="7">
        <f t="shared" si="1"/>
        <v>1686</v>
      </c>
      <c r="G20" s="2">
        <f t="shared" si="2"/>
        <v>0.0166641957</v>
      </c>
    </row>
    <row r="21" ht="15.75" customHeight="1">
      <c r="A21" s="5">
        <v>19.0</v>
      </c>
      <c r="B21" s="5" t="s">
        <v>31</v>
      </c>
      <c r="C21" s="5" t="s">
        <v>32</v>
      </c>
      <c r="D21" s="5">
        <v>110699.0</v>
      </c>
      <c r="E21" s="5">
        <v>112575.0</v>
      </c>
      <c r="F21" s="7">
        <f t="shared" si="1"/>
        <v>1876</v>
      </c>
      <c r="G21" s="2">
        <f t="shared" si="2"/>
        <v>0.01666444592</v>
      </c>
    </row>
    <row r="22" ht="15.75" customHeight="1">
      <c r="A22" s="5">
        <v>20.0</v>
      </c>
      <c r="B22" s="5" t="s">
        <v>31</v>
      </c>
      <c r="C22" s="5" t="s">
        <v>33</v>
      </c>
      <c r="D22" s="5">
        <v>117705.0</v>
      </c>
      <c r="E22" s="5">
        <v>119700.0</v>
      </c>
      <c r="F22" s="7">
        <f t="shared" si="1"/>
        <v>1995</v>
      </c>
      <c r="G22" s="2">
        <f t="shared" si="2"/>
        <v>0.01666666667</v>
      </c>
    </row>
    <row r="23" ht="15.75" customHeight="1">
      <c r="A23" s="5">
        <v>21.0</v>
      </c>
      <c r="B23" s="5" t="s">
        <v>34</v>
      </c>
      <c r="C23" s="5" t="s">
        <v>35</v>
      </c>
      <c r="D23" s="5">
        <v>203181.0</v>
      </c>
      <c r="E23" s="5">
        <v>206625.0</v>
      </c>
      <c r="F23" s="7">
        <f t="shared" si="1"/>
        <v>3444</v>
      </c>
      <c r="G23" s="2">
        <f t="shared" si="2"/>
        <v>0.01666787659</v>
      </c>
    </row>
    <row r="24" ht="15.75" customHeight="1">
      <c r="A24" s="5">
        <v>22.0</v>
      </c>
      <c r="B24" s="5" t="s">
        <v>34</v>
      </c>
      <c r="C24" s="5" t="s">
        <v>36</v>
      </c>
      <c r="D24" s="5">
        <v>231491.0</v>
      </c>
      <c r="E24" s="5">
        <v>235553.0</v>
      </c>
      <c r="F24" s="7">
        <f t="shared" si="1"/>
        <v>4062</v>
      </c>
      <c r="G24" s="2">
        <f t="shared" si="2"/>
        <v>0.01724452671</v>
      </c>
    </row>
    <row r="25" ht="15.75" customHeight="1">
      <c r="A25" s="5">
        <v>23.0</v>
      </c>
      <c r="B25" s="5" t="s">
        <v>34</v>
      </c>
      <c r="C25" s="5" t="s">
        <v>37</v>
      </c>
      <c r="D25" s="5">
        <v>238260.0</v>
      </c>
      <c r="E25" s="5">
        <v>242440.0</v>
      </c>
      <c r="F25" s="7">
        <f t="shared" si="1"/>
        <v>4180</v>
      </c>
      <c r="G25" s="2">
        <f t="shared" si="2"/>
        <v>0.01724137931</v>
      </c>
    </row>
    <row r="26" ht="15.75" customHeight="1">
      <c r="A26" s="5">
        <v>24.0</v>
      </c>
      <c r="B26" s="5" t="s">
        <v>38</v>
      </c>
      <c r="C26" s="5" t="s">
        <v>39</v>
      </c>
      <c r="D26" s="5">
        <v>245029.0</v>
      </c>
      <c r="E26" s="5">
        <v>249328.0</v>
      </c>
      <c r="F26" s="7">
        <f t="shared" si="1"/>
        <v>4299</v>
      </c>
      <c r="G26" s="2">
        <f t="shared" si="2"/>
        <v>0.01724234743</v>
      </c>
    </row>
    <row r="27" ht="15.75" customHeight="1">
      <c r="A27" s="5">
        <v>25.0</v>
      </c>
      <c r="B27" s="5" t="s">
        <v>40</v>
      </c>
      <c r="C27" s="5" t="s">
        <v>41</v>
      </c>
      <c r="D27" s="5">
        <v>278873.0</v>
      </c>
      <c r="E27" s="5">
        <v>283765.0</v>
      </c>
      <c r="F27" s="7">
        <f t="shared" si="1"/>
        <v>4892</v>
      </c>
      <c r="G27" s="2">
        <f t="shared" si="2"/>
        <v>0.01723961729</v>
      </c>
    </row>
    <row r="28" ht="15.75" customHeight="1">
      <c r="A28" s="5">
        <v>26.0</v>
      </c>
      <c r="B28" s="5" t="s">
        <v>40</v>
      </c>
      <c r="C28" s="5" t="s">
        <v>42</v>
      </c>
      <c r="D28" s="5">
        <v>292410.0</v>
      </c>
      <c r="E28" s="5">
        <v>297540.0</v>
      </c>
      <c r="F28" s="7">
        <f t="shared" si="1"/>
        <v>5130</v>
      </c>
      <c r="G28" s="2">
        <f t="shared" si="2"/>
        <v>0.01724137931</v>
      </c>
    </row>
    <row r="29" ht="15.75" customHeight="1">
      <c r="G29" s="2"/>
    </row>
    <row r="30" ht="15.75" customHeight="1">
      <c r="G30" s="2"/>
    </row>
    <row r="31" ht="15.75" customHeight="1">
      <c r="A31" s="1" t="s">
        <v>43</v>
      </c>
      <c r="G31" s="2"/>
    </row>
    <row r="32" ht="15.75" customHeight="1">
      <c r="A32" s="3" t="s">
        <v>1</v>
      </c>
      <c r="B32" s="3" t="s">
        <v>44</v>
      </c>
      <c r="C32" s="3" t="s">
        <v>3</v>
      </c>
      <c r="D32" s="3" t="s">
        <v>4</v>
      </c>
      <c r="E32" s="3" t="s">
        <v>5</v>
      </c>
      <c r="G32" s="2"/>
    </row>
    <row r="33" ht="15.75" customHeight="1">
      <c r="A33" s="5">
        <v>27.0</v>
      </c>
      <c r="B33" s="5" t="s">
        <v>45</v>
      </c>
      <c r="C33" s="6" t="s">
        <v>46</v>
      </c>
      <c r="D33" s="5">
        <v>9056.0</v>
      </c>
      <c r="E33" s="5">
        <v>9203.0</v>
      </c>
      <c r="F33" s="7">
        <f t="shared" ref="F33:F35" si="3">E33-D33</f>
        <v>147</v>
      </c>
      <c r="G33" s="2">
        <f t="shared" ref="G33:G35" si="4">F33/E33</f>
        <v>0.01597305227</v>
      </c>
    </row>
    <row r="34" ht="15.75" customHeight="1">
      <c r="A34" s="5">
        <v>28.0</v>
      </c>
      <c r="B34" s="5" t="s">
        <v>45</v>
      </c>
      <c r="C34" s="6" t="s">
        <v>47</v>
      </c>
      <c r="D34" s="5">
        <v>14858.0</v>
      </c>
      <c r="E34" s="5">
        <v>15141.0</v>
      </c>
      <c r="F34" s="7">
        <f t="shared" si="3"/>
        <v>283</v>
      </c>
      <c r="G34" s="2">
        <f t="shared" si="4"/>
        <v>0.01869097153</v>
      </c>
    </row>
    <row r="35" ht="15.75" customHeight="1">
      <c r="A35" s="5">
        <v>29.0</v>
      </c>
      <c r="B35" s="5" t="s">
        <v>48</v>
      </c>
      <c r="C35" s="6" t="s">
        <v>46</v>
      </c>
      <c r="D35" s="5">
        <v>30965.0</v>
      </c>
      <c r="E35" s="5">
        <v>31469.0</v>
      </c>
      <c r="F35" s="7">
        <f t="shared" si="3"/>
        <v>504</v>
      </c>
      <c r="G35" s="2">
        <f t="shared" si="4"/>
        <v>0.01601576154</v>
      </c>
    </row>
    <row r="36" ht="15.75" customHeight="1">
      <c r="G36" s="2"/>
    </row>
    <row r="37" ht="15.75" customHeight="1">
      <c r="G37" s="2"/>
    </row>
    <row r="38" ht="15.75" customHeight="1">
      <c r="A38" s="1" t="s">
        <v>49</v>
      </c>
      <c r="G38" s="2"/>
    </row>
    <row r="39" ht="15.75" customHeight="1">
      <c r="A39" s="3" t="s">
        <v>1</v>
      </c>
      <c r="B39" s="3" t="s">
        <v>44</v>
      </c>
      <c r="C39" s="3" t="s">
        <v>3</v>
      </c>
      <c r="D39" s="3" t="s">
        <v>4</v>
      </c>
      <c r="E39" s="3" t="s">
        <v>5</v>
      </c>
      <c r="G39" s="2"/>
    </row>
    <row r="40" ht="15.75" customHeight="1">
      <c r="A40" s="5">
        <v>30.0</v>
      </c>
      <c r="B40" s="5" t="s">
        <v>8</v>
      </c>
      <c r="C40" s="6" t="s">
        <v>50</v>
      </c>
      <c r="D40" s="5">
        <v>65550.0</v>
      </c>
      <c r="E40" s="5">
        <v>66643.0</v>
      </c>
      <c r="F40" s="7">
        <f t="shared" ref="F40:F58" si="5">E40-D40</f>
        <v>1093</v>
      </c>
      <c r="G40" s="2">
        <f t="shared" ref="G40:G58" si="6">F40/E40</f>
        <v>0.01640082229</v>
      </c>
    </row>
    <row r="41" ht="15.75" customHeight="1">
      <c r="A41" s="5">
        <v>31.0</v>
      </c>
      <c r="B41" s="5" t="s">
        <v>8</v>
      </c>
      <c r="C41" s="6" t="s">
        <v>51</v>
      </c>
      <c r="D41" s="5">
        <v>65550.0</v>
      </c>
      <c r="E41" s="5">
        <v>66643.0</v>
      </c>
      <c r="F41" s="7">
        <f t="shared" si="5"/>
        <v>1093</v>
      </c>
      <c r="G41" s="2">
        <f t="shared" si="6"/>
        <v>0.01640082229</v>
      </c>
    </row>
    <row r="42" ht="15.75" customHeight="1">
      <c r="A42" s="5">
        <v>32.0</v>
      </c>
      <c r="B42" s="5" t="s">
        <v>15</v>
      </c>
      <c r="C42" s="6" t="s">
        <v>52</v>
      </c>
      <c r="D42" s="5">
        <v>72675.0</v>
      </c>
      <c r="E42" s="5">
        <v>73886.0</v>
      </c>
      <c r="F42" s="7">
        <f t="shared" si="5"/>
        <v>1211</v>
      </c>
      <c r="G42" s="2">
        <f t="shared" si="6"/>
        <v>0.0163901145</v>
      </c>
    </row>
    <row r="43" ht="15.75" customHeight="1">
      <c r="A43" s="5">
        <v>33.0</v>
      </c>
      <c r="B43" s="5" t="s">
        <v>15</v>
      </c>
      <c r="C43" s="6" t="s">
        <v>53</v>
      </c>
      <c r="D43" s="5">
        <v>79800.0</v>
      </c>
      <c r="E43" s="5">
        <v>81130.0</v>
      </c>
      <c r="F43" s="7">
        <f t="shared" si="5"/>
        <v>1330</v>
      </c>
      <c r="G43" s="2">
        <f t="shared" si="6"/>
        <v>0.01639344262</v>
      </c>
    </row>
    <row r="44" ht="15.75" customHeight="1">
      <c r="A44" s="5">
        <v>34.0</v>
      </c>
      <c r="B44" s="5" t="s">
        <v>15</v>
      </c>
      <c r="C44" s="6" t="s">
        <v>54</v>
      </c>
      <c r="D44" s="5">
        <v>84075.0</v>
      </c>
      <c r="E44" s="5">
        <v>85476.0</v>
      </c>
      <c r="F44" s="7">
        <f t="shared" si="5"/>
        <v>1401</v>
      </c>
      <c r="G44" s="2">
        <f t="shared" si="6"/>
        <v>0.01639056577</v>
      </c>
    </row>
    <row r="45" ht="15.75" customHeight="1">
      <c r="A45" s="5">
        <v>35.0</v>
      </c>
      <c r="B45" s="5" t="s">
        <v>15</v>
      </c>
      <c r="C45" s="6" t="s">
        <v>55</v>
      </c>
      <c r="D45" s="5">
        <v>112575.0</v>
      </c>
      <c r="E45" s="5">
        <v>114451.0</v>
      </c>
      <c r="F45" s="7">
        <f t="shared" si="5"/>
        <v>1876</v>
      </c>
      <c r="G45" s="2">
        <f t="shared" si="6"/>
        <v>0.01639129409</v>
      </c>
    </row>
    <row r="46" ht="15.75" customHeight="1">
      <c r="A46" s="5">
        <v>36.0</v>
      </c>
      <c r="B46" s="5" t="s">
        <v>15</v>
      </c>
      <c r="C46" s="6" t="s">
        <v>56</v>
      </c>
      <c r="D46" s="5">
        <v>149625.0</v>
      </c>
      <c r="E46" s="5">
        <v>152119.0</v>
      </c>
      <c r="F46" s="7">
        <f t="shared" si="5"/>
        <v>2494</v>
      </c>
      <c r="G46" s="2">
        <f t="shared" si="6"/>
        <v>0.01639505913</v>
      </c>
    </row>
    <row r="47" ht="15.75" customHeight="1">
      <c r="A47" s="5">
        <v>37.0</v>
      </c>
      <c r="B47" s="5" t="s">
        <v>57</v>
      </c>
      <c r="C47" s="6" t="s">
        <v>58</v>
      </c>
      <c r="D47" s="5">
        <v>158888.0</v>
      </c>
      <c r="E47" s="5">
        <v>161536.0</v>
      </c>
      <c r="F47" s="7">
        <f t="shared" si="5"/>
        <v>2648</v>
      </c>
      <c r="G47" s="2">
        <f t="shared" si="6"/>
        <v>0.01639263074</v>
      </c>
    </row>
    <row r="48" ht="15.75" customHeight="1">
      <c r="A48" s="5">
        <v>38.0</v>
      </c>
      <c r="B48" s="5" t="s">
        <v>57</v>
      </c>
      <c r="C48" s="6" t="s">
        <v>59</v>
      </c>
      <c r="D48" s="5">
        <v>163875.0</v>
      </c>
      <c r="E48" s="5">
        <v>166606.0</v>
      </c>
      <c r="F48" s="7">
        <f t="shared" si="5"/>
        <v>2731</v>
      </c>
      <c r="G48" s="2">
        <f t="shared" si="6"/>
        <v>0.01639196668</v>
      </c>
    </row>
    <row r="49" ht="15.75" customHeight="1">
      <c r="A49" s="5">
        <v>39.0</v>
      </c>
      <c r="B49" s="5" t="s">
        <v>57</v>
      </c>
      <c r="C49" s="6" t="s">
        <v>60</v>
      </c>
      <c r="D49" s="5">
        <v>204488.0</v>
      </c>
      <c r="E49" s="5">
        <v>207896.0</v>
      </c>
      <c r="F49" s="7">
        <f t="shared" si="5"/>
        <v>3408</v>
      </c>
      <c r="G49" s="2">
        <f t="shared" si="6"/>
        <v>0.01639281179</v>
      </c>
    </row>
    <row r="50" ht="15.75" customHeight="1">
      <c r="A50" s="5">
        <v>40.0</v>
      </c>
      <c r="B50" s="5" t="s">
        <v>57</v>
      </c>
      <c r="C50" s="6" t="s">
        <v>61</v>
      </c>
      <c r="D50" s="5">
        <v>261488.0</v>
      </c>
      <c r="E50" s="5">
        <v>265846.0</v>
      </c>
      <c r="F50" s="7">
        <f t="shared" si="5"/>
        <v>4358</v>
      </c>
      <c r="G50" s="2">
        <f t="shared" si="6"/>
        <v>0.0163929493</v>
      </c>
    </row>
    <row r="51" ht="15.75" customHeight="1">
      <c r="A51" s="5">
        <v>41.0</v>
      </c>
      <c r="B51" s="5" t="s">
        <v>62</v>
      </c>
      <c r="C51" s="5" t="s">
        <v>63</v>
      </c>
      <c r="D51" s="5">
        <v>406125.0</v>
      </c>
      <c r="E51" s="5">
        <v>412894.0</v>
      </c>
      <c r="F51" s="7">
        <f t="shared" si="5"/>
        <v>6769</v>
      </c>
      <c r="G51" s="2">
        <f t="shared" si="6"/>
        <v>0.01639403818</v>
      </c>
    </row>
    <row r="52" ht="15.75" customHeight="1">
      <c r="A52" s="5">
        <v>42.0</v>
      </c>
      <c r="B52" s="5" t="s">
        <v>64</v>
      </c>
      <c r="C52" s="5" t="s">
        <v>65</v>
      </c>
      <c r="D52" s="5">
        <v>463125.0</v>
      </c>
      <c r="E52" s="5">
        <v>470844.0</v>
      </c>
      <c r="F52" s="7">
        <f t="shared" si="5"/>
        <v>7719</v>
      </c>
      <c r="G52" s="2">
        <f t="shared" si="6"/>
        <v>0.01639396488</v>
      </c>
    </row>
    <row r="53" ht="15.75" customHeight="1">
      <c r="A53" s="5">
        <v>43.0</v>
      </c>
      <c r="B53" s="5" t="s">
        <v>64</v>
      </c>
      <c r="C53" s="5" t="s">
        <v>66</v>
      </c>
      <c r="D53" s="5">
        <v>505875.0</v>
      </c>
      <c r="E53" s="5">
        <v>514306.0</v>
      </c>
      <c r="F53" s="7">
        <f t="shared" si="5"/>
        <v>8431</v>
      </c>
      <c r="G53" s="2">
        <f t="shared" si="6"/>
        <v>0.0163929645</v>
      </c>
    </row>
    <row r="54" ht="15.75" customHeight="1">
      <c r="A54" s="5">
        <v>44.0</v>
      </c>
      <c r="B54" s="5" t="s">
        <v>67</v>
      </c>
      <c r="C54" s="5" t="s">
        <v>68</v>
      </c>
      <c r="D54" s="5">
        <v>637688.0</v>
      </c>
      <c r="E54" s="5">
        <v>648316.0</v>
      </c>
      <c r="F54" s="7">
        <f t="shared" si="5"/>
        <v>10628</v>
      </c>
      <c r="G54" s="2">
        <f t="shared" si="6"/>
        <v>0.01639324033</v>
      </c>
    </row>
    <row r="55" ht="15.75" customHeight="1">
      <c r="A55" s="5">
        <v>45.0</v>
      </c>
      <c r="B55" s="5" t="s">
        <v>67</v>
      </c>
      <c r="C55" s="5" t="s">
        <v>69</v>
      </c>
      <c r="D55" s="5">
        <v>655500.0</v>
      </c>
      <c r="E55" s="5">
        <v>666425.0</v>
      </c>
      <c r="F55" s="7">
        <f t="shared" si="5"/>
        <v>10925</v>
      </c>
      <c r="G55" s="2">
        <f t="shared" si="6"/>
        <v>0.01639344262</v>
      </c>
    </row>
    <row r="56" ht="15.75" customHeight="1">
      <c r="A56" s="5">
        <v>46.0</v>
      </c>
      <c r="B56" s="5" t="s">
        <v>67</v>
      </c>
      <c r="C56" s="5" t="s">
        <v>70</v>
      </c>
      <c r="D56" s="5">
        <v>726750.0</v>
      </c>
      <c r="E56" s="5">
        <v>738863.0</v>
      </c>
      <c r="F56" s="7">
        <f t="shared" si="5"/>
        <v>12113</v>
      </c>
      <c r="G56" s="2">
        <f t="shared" si="6"/>
        <v>0.01639410824</v>
      </c>
    </row>
    <row r="57" ht="15.75" customHeight="1">
      <c r="A57" s="5">
        <v>47.0</v>
      </c>
      <c r="B57" s="5"/>
      <c r="C57" s="5" t="s">
        <v>71</v>
      </c>
      <c r="D57" s="5">
        <v>798000.0</v>
      </c>
      <c r="E57" s="5">
        <v>811300.0</v>
      </c>
      <c r="F57" s="7">
        <f t="shared" si="5"/>
        <v>13300</v>
      </c>
      <c r="G57" s="2">
        <f t="shared" si="6"/>
        <v>0.01639344262</v>
      </c>
    </row>
    <row r="58" ht="15.75" customHeight="1">
      <c r="A58" s="5">
        <v>48.0</v>
      </c>
      <c r="B58" s="5"/>
      <c r="C58" s="5" t="s">
        <v>72</v>
      </c>
      <c r="D58" s="5">
        <v>940500.0</v>
      </c>
      <c r="E58" s="5">
        <v>956175.0</v>
      </c>
      <c r="F58" s="7">
        <f t="shared" si="5"/>
        <v>15675</v>
      </c>
      <c r="G58" s="2">
        <f t="shared" si="6"/>
        <v>0.01639344262</v>
      </c>
    </row>
    <row r="59" ht="15.75" customHeight="1">
      <c r="G59" s="2"/>
    </row>
    <row r="60" ht="15.75" customHeight="1">
      <c r="G60" s="2"/>
    </row>
    <row r="61" ht="15.75" customHeight="1">
      <c r="A61" s="1" t="s">
        <v>73</v>
      </c>
      <c r="G61" s="2"/>
    </row>
    <row r="62" ht="15.75" customHeight="1">
      <c r="A62" s="3" t="s">
        <v>1</v>
      </c>
      <c r="B62" s="3" t="s">
        <v>74</v>
      </c>
      <c r="C62" s="3" t="s">
        <v>3</v>
      </c>
      <c r="D62" s="3" t="s">
        <v>4</v>
      </c>
      <c r="E62" s="3" t="s">
        <v>5</v>
      </c>
      <c r="G62" s="2"/>
    </row>
    <row r="63" ht="15.75" customHeight="1">
      <c r="A63" s="5">
        <v>49.0</v>
      </c>
      <c r="B63" s="5" t="s">
        <v>75</v>
      </c>
      <c r="C63" s="6" t="s">
        <v>76</v>
      </c>
      <c r="D63" s="5">
        <v>85352.0</v>
      </c>
      <c r="E63" s="5">
        <v>86717.0</v>
      </c>
      <c r="F63" s="7">
        <f t="shared" ref="F63:F78" si="7">E63-D63</f>
        <v>1365</v>
      </c>
      <c r="G63" s="2">
        <f t="shared" ref="G63:G78" si="8">F63/E63</f>
        <v>0.01574085819</v>
      </c>
    </row>
    <row r="64" ht="15.75" customHeight="1">
      <c r="A64" s="5">
        <v>50.0</v>
      </c>
      <c r="B64" s="5" t="s">
        <v>75</v>
      </c>
      <c r="C64" s="6" t="s">
        <v>77</v>
      </c>
      <c r="D64" s="5">
        <v>169219.0</v>
      </c>
      <c r="E64" s="5">
        <v>171926.0</v>
      </c>
      <c r="F64" s="7">
        <f t="shared" si="7"/>
        <v>2707</v>
      </c>
      <c r="G64" s="2">
        <f t="shared" si="8"/>
        <v>0.01574514617</v>
      </c>
    </row>
    <row r="65" ht="15.75" customHeight="1">
      <c r="A65" s="5">
        <v>51.0</v>
      </c>
      <c r="B65" s="5" t="s">
        <v>75</v>
      </c>
      <c r="C65" s="6" t="s">
        <v>78</v>
      </c>
      <c r="D65" s="5">
        <v>200391.0</v>
      </c>
      <c r="E65" s="5">
        <v>203597.0</v>
      </c>
      <c r="F65" s="7">
        <f t="shared" si="7"/>
        <v>3206</v>
      </c>
      <c r="G65" s="2">
        <f t="shared" si="8"/>
        <v>0.01574679391</v>
      </c>
    </row>
    <row r="66" ht="15.75" customHeight="1">
      <c r="A66" s="5">
        <v>52.0</v>
      </c>
      <c r="B66" s="5" t="s">
        <v>79</v>
      </c>
      <c r="C66" s="5" t="s">
        <v>80</v>
      </c>
      <c r="D66" s="5">
        <v>93219.0</v>
      </c>
      <c r="E66" s="5">
        <v>94710.0</v>
      </c>
      <c r="F66" s="7">
        <f t="shared" si="7"/>
        <v>1491</v>
      </c>
      <c r="G66" s="2">
        <f t="shared" si="8"/>
        <v>0.01574279379</v>
      </c>
    </row>
    <row r="67" ht="15.75" customHeight="1">
      <c r="A67" s="5">
        <v>53.0</v>
      </c>
      <c r="B67" s="5" t="s">
        <v>81</v>
      </c>
      <c r="C67" s="5" t="s">
        <v>82</v>
      </c>
      <c r="D67" s="5">
        <v>84609.0</v>
      </c>
      <c r="E67" s="5">
        <v>85963.0</v>
      </c>
      <c r="F67" s="7">
        <f t="shared" si="7"/>
        <v>1354</v>
      </c>
      <c r="G67" s="2">
        <f t="shared" si="8"/>
        <v>0.01575096262</v>
      </c>
    </row>
    <row r="68" ht="15.75" customHeight="1">
      <c r="A68" s="5">
        <v>54.0</v>
      </c>
      <c r="B68" s="5" t="s">
        <v>83</v>
      </c>
      <c r="C68" s="5" t="s">
        <v>84</v>
      </c>
      <c r="D68" s="5">
        <v>31172.0</v>
      </c>
      <c r="E68" s="5">
        <v>31671.0</v>
      </c>
      <c r="F68" s="7">
        <f t="shared" si="7"/>
        <v>499</v>
      </c>
      <c r="G68" s="2">
        <f t="shared" si="8"/>
        <v>0.01575573869</v>
      </c>
    </row>
    <row r="69" ht="15.75" customHeight="1">
      <c r="A69" s="5">
        <v>55.0</v>
      </c>
      <c r="B69" s="5" t="s">
        <v>83</v>
      </c>
      <c r="C69" s="5" t="s">
        <v>85</v>
      </c>
      <c r="D69" s="5">
        <v>34141.0</v>
      </c>
      <c r="E69" s="5">
        <v>34687.0</v>
      </c>
      <c r="F69" s="7">
        <f t="shared" si="7"/>
        <v>546</v>
      </c>
      <c r="G69" s="2">
        <f t="shared" si="8"/>
        <v>0.01574076743</v>
      </c>
    </row>
    <row r="70" ht="15.75" customHeight="1">
      <c r="A70" s="5">
        <v>56.0</v>
      </c>
      <c r="B70" s="5" t="s">
        <v>86</v>
      </c>
      <c r="C70" s="5" t="s">
        <v>87</v>
      </c>
      <c r="D70" s="5">
        <v>3271919.0</v>
      </c>
      <c r="E70" s="5">
        <v>3327375.0</v>
      </c>
      <c r="F70" s="7">
        <f t="shared" si="7"/>
        <v>55456</v>
      </c>
      <c r="G70" s="2">
        <f t="shared" si="8"/>
        <v>0.01666659153</v>
      </c>
    </row>
    <row r="71" ht="15.75" customHeight="1">
      <c r="A71" s="5">
        <v>57.0</v>
      </c>
      <c r="B71" s="5" t="s">
        <v>86</v>
      </c>
      <c r="C71" s="5" t="s">
        <v>88</v>
      </c>
      <c r="D71" s="5">
        <v>406363.0</v>
      </c>
      <c r="E71" s="5">
        <v>413250.0</v>
      </c>
      <c r="F71" s="7">
        <f t="shared" si="7"/>
        <v>6887</v>
      </c>
      <c r="G71" s="2">
        <f t="shared" si="8"/>
        <v>0.01666545675</v>
      </c>
    </row>
    <row r="72" ht="15.75" customHeight="1">
      <c r="A72" s="5">
        <v>58.0</v>
      </c>
      <c r="B72" s="5" t="s">
        <v>86</v>
      </c>
      <c r="C72" s="5" t="s">
        <v>89</v>
      </c>
      <c r="D72" s="5">
        <v>427382.0</v>
      </c>
      <c r="E72" s="5">
        <v>434625.0</v>
      </c>
      <c r="F72" s="7">
        <f t="shared" si="7"/>
        <v>7243</v>
      </c>
      <c r="G72" s="2">
        <f t="shared" si="8"/>
        <v>0.01666494104</v>
      </c>
    </row>
    <row r="73" ht="15.75" customHeight="1">
      <c r="A73" s="5">
        <v>59.0</v>
      </c>
      <c r="B73" s="5" t="s">
        <v>86</v>
      </c>
      <c r="C73" s="5" t="s">
        <v>90</v>
      </c>
      <c r="D73" s="5">
        <v>179360.0</v>
      </c>
      <c r="E73" s="5">
        <v>182400.0</v>
      </c>
      <c r="F73" s="7">
        <f t="shared" si="7"/>
        <v>3040</v>
      </c>
      <c r="G73" s="2">
        <f t="shared" si="8"/>
        <v>0.01666666667</v>
      </c>
    </row>
    <row r="74" ht="15.75" customHeight="1">
      <c r="A74" s="5">
        <v>60.0</v>
      </c>
      <c r="B74" s="5" t="s">
        <v>86</v>
      </c>
      <c r="C74" s="5" t="s">
        <v>91</v>
      </c>
      <c r="D74" s="5">
        <v>571710.0</v>
      </c>
      <c r="E74" s="5">
        <v>581400.0</v>
      </c>
      <c r="F74" s="7">
        <f t="shared" si="7"/>
        <v>9690</v>
      </c>
      <c r="G74" s="2">
        <f t="shared" si="8"/>
        <v>0.01666666667</v>
      </c>
    </row>
    <row r="75" ht="15.75" customHeight="1">
      <c r="A75" s="5">
        <v>61.0</v>
      </c>
      <c r="B75" s="5" t="s">
        <v>92</v>
      </c>
      <c r="C75" s="5" t="s">
        <v>93</v>
      </c>
      <c r="D75" s="5">
        <v>125412.0</v>
      </c>
      <c r="E75" s="5">
        <v>127538.0</v>
      </c>
      <c r="F75" s="7">
        <f t="shared" si="7"/>
        <v>2126</v>
      </c>
      <c r="G75" s="2">
        <f t="shared" si="8"/>
        <v>0.01666954163</v>
      </c>
    </row>
    <row r="76" ht="15.75" customHeight="1">
      <c r="A76" s="5">
        <v>62.0</v>
      </c>
      <c r="B76" s="5" t="s">
        <v>92</v>
      </c>
      <c r="C76" s="5" t="s">
        <v>94</v>
      </c>
      <c r="D76" s="5">
        <v>100890.0</v>
      </c>
      <c r="E76" s="5">
        <v>102600.0</v>
      </c>
      <c r="F76" s="7">
        <f t="shared" si="7"/>
        <v>1710</v>
      </c>
      <c r="G76" s="2">
        <f t="shared" si="8"/>
        <v>0.01666666667</v>
      </c>
    </row>
    <row r="77" ht="15.75" customHeight="1">
      <c r="A77" s="5">
        <v>63.0</v>
      </c>
      <c r="B77" s="5" t="s">
        <v>92</v>
      </c>
      <c r="C77" s="5" t="s">
        <v>95</v>
      </c>
      <c r="D77" s="5">
        <v>30828.0</v>
      </c>
      <c r="E77" s="5">
        <v>31350.0</v>
      </c>
      <c r="F77" s="7">
        <f t="shared" si="7"/>
        <v>522</v>
      </c>
      <c r="G77" s="2">
        <f t="shared" si="8"/>
        <v>0.0166507177</v>
      </c>
    </row>
    <row r="78" ht="15.75" customHeight="1">
      <c r="A78" s="5">
        <v>64.0</v>
      </c>
      <c r="B78" s="5" t="s">
        <v>92</v>
      </c>
      <c r="C78" s="5" t="s">
        <v>96</v>
      </c>
      <c r="D78" s="5">
        <v>36433.0</v>
      </c>
      <c r="E78" s="5">
        <v>37050.0</v>
      </c>
      <c r="F78" s="7">
        <f t="shared" si="7"/>
        <v>617</v>
      </c>
      <c r="G78" s="2">
        <f t="shared" si="8"/>
        <v>0.01665317139</v>
      </c>
    </row>
    <row r="79" ht="15.75" customHeight="1">
      <c r="G79" s="2"/>
    </row>
    <row r="80" ht="15.75" customHeight="1">
      <c r="G80" s="2"/>
    </row>
    <row r="81" ht="15.75" customHeight="1">
      <c r="G81" s="2"/>
    </row>
    <row r="82" ht="15.75" customHeight="1">
      <c r="G82" s="2"/>
    </row>
    <row r="83" ht="15.75" customHeight="1">
      <c r="G83" s="2"/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>
      <c r="G221" s="2"/>
    </row>
    <row r="222" ht="15.75" customHeight="1">
      <c r="G222" s="2"/>
    </row>
    <row r="223" ht="15.75" customHeight="1">
      <c r="G223" s="2"/>
    </row>
    <row r="224" ht="15.75" customHeight="1">
      <c r="G224" s="2"/>
    </row>
    <row r="225" ht="15.75" customHeight="1">
      <c r="G225" s="2"/>
    </row>
    <row r="226" ht="15.75" customHeight="1">
      <c r="G226" s="2"/>
    </row>
    <row r="227" ht="15.75" customHeight="1">
      <c r="G227" s="2"/>
    </row>
    <row r="228" ht="15.75" customHeight="1">
      <c r="G228" s="2"/>
    </row>
    <row r="229" ht="15.75" customHeight="1">
      <c r="G229" s="2"/>
    </row>
    <row r="230" ht="15.75" customHeight="1">
      <c r="G230" s="2"/>
    </row>
    <row r="231" ht="15.75" customHeight="1">
      <c r="G231" s="2"/>
    </row>
    <row r="232" ht="15.75" customHeight="1">
      <c r="G232" s="2"/>
    </row>
    <row r="233" ht="15.75" customHeight="1">
      <c r="G233" s="2"/>
    </row>
    <row r="234" ht="15.75" customHeight="1">
      <c r="G234" s="2"/>
    </row>
    <row r="235" ht="15.75" customHeight="1">
      <c r="G235" s="2"/>
    </row>
    <row r="236" ht="15.75" customHeight="1">
      <c r="G236" s="2"/>
    </row>
    <row r="237" ht="15.75" customHeight="1">
      <c r="G237" s="2"/>
    </row>
    <row r="238" ht="15.75" customHeight="1">
      <c r="G238" s="2"/>
    </row>
    <row r="239" ht="15.75" customHeight="1">
      <c r="G239" s="2"/>
    </row>
    <row r="240" ht="15.75" customHeight="1">
      <c r="G240" s="2"/>
    </row>
    <row r="241" ht="15.75" customHeight="1">
      <c r="G241" s="2"/>
    </row>
    <row r="242" ht="15.75" customHeight="1">
      <c r="G242" s="2"/>
    </row>
    <row r="243" ht="15.75" customHeight="1">
      <c r="G243" s="2"/>
    </row>
    <row r="244" ht="15.75" customHeight="1">
      <c r="G244" s="2"/>
    </row>
    <row r="245" ht="15.75" customHeight="1">
      <c r="G245" s="2"/>
    </row>
    <row r="246" ht="15.75" customHeight="1">
      <c r="G246" s="2"/>
    </row>
    <row r="247" ht="15.75" customHeight="1">
      <c r="G247" s="2"/>
    </row>
    <row r="248" ht="15.75" customHeight="1">
      <c r="G248" s="2"/>
    </row>
    <row r="249" ht="15.75" customHeight="1">
      <c r="G249" s="2"/>
    </row>
    <row r="250" ht="15.75" customHeight="1">
      <c r="G250" s="2"/>
    </row>
    <row r="251" ht="15.75" customHeight="1">
      <c r="G251" s="2"/>
    </row>
    <row r="252" ht="15.75" customHeight="1">
      <c r="G252" s="2"/>
    </row>
    <row r="253" ht="15.75" customHeight="1">
      <c r="G253" s="2"/>
    </row>
    <row r="254" ht="15.75" customHeight="1">
      <c r="G254" s="2"/>
    </row>
    <row r="255" ht="15.75" customHeight="1">
      <c r="G255" s="2"/>
    </row>
    <row r="256" ht="15.75" customHeight="1">
      <c r="G256" s="2"/>
    </row>
    <row r="257" ht="15.75" customHeight="1">
      <c r="G257" s="2"/>
    </row>
    <row r="258" ht="15.75" customHeight="1">
      <c r="G258" s="2"/>
    </row>
    <row r="259" ht="15.75" customHeight="1">
      <c r="G259" s="2"/>
    </row>
    <row r="260" ht="15.75" customHeight="1">
      <c r="G260" s="2"/>
    </row>
    <row r="261" ht="15.75" customHeight="1">
      <c r="G261" s="2"/>
    </row>
    <row r="262" ht="15.75" customHeight="1">
      <c r="G262" s="2"/>
    </row>
    <row r="263" ht="15.75" customHeight="1">
      <c r="G263" s="2"/>
    </row>
    <row r="264" ht="15.75" customHeight="1">
      <c r="G264" s="2"/>
    </row>
    <row r="265" ht="15.75" customHeight="1">
      <c r="G265" s="2"/>
    </row>
    <row r="266" ht="15.75" customHeight="1">
      <c r="G266" s="2"/>
    </row>
    <row r="267" ht="15.75" customHeight="1">
      <c r="G267" s="2"/>
    </row>
    <row r="268" ht="15.75" customHeight="1">
      <c r="G268" s="2"/>
    </row>
    <row r="269" ht="15.75" customHeight="1">
      <c r="G269" s="2"/>
    </row>
    <row r="270" ht="15.75" customHeight="1">
      <c r="G270" s="2"/>
    </row>
    <row r="271" ht="15.75" customHeight="1">
      <c r="G271" s="2"/>
    </row>
    <row r="272" ht="15.75" customHeight="1">
      <c r="G272" s="2"/>
    </row>
    <row r="273" ht="15.75" customHeight="1">
      <c r="G273" s="2"/>
    </row>
    <row r="274" ht="15.75" customHeight="1">
      <c r="G274" s="2"/>
    </row>
    <row r="275" ht="15.75" customHeight="1">
      <c r="G275" s="2"/>
    </row>
    <row r="276" ht="15.75" customHeight="1">
      <c r="G276" s="2"/>
    </row>
    <row r="277" ht="15.75" customHeight="1">
      <c r="G277" s="2"/>
    </row>
    <row r="278" ht="15.75" customHeight="1">
      <c r="G278" s="2"/>
    </row>
    <row r="279" ht="15.75" customHeight="1">
      <c r="G279" s="2"/>
    </row>
    <row r="280" ht="15.75" customHeight="1">
      <c r="G280" s="2"/>
    </row>
    <row r="281" ht="15.75" customHeight="1">
      <c r="G281" s="2"/>
    </row>
    <row r="282" ht="15.75" customHeight="1">
      <c r="G282" s="2"/>
    </row>
    <row r="283" ht="15.75" customHeight="1">
      <c r="G283" s="2"/>
    </row>
    <row r="284" ht="15.75" customHeight="1">
      <c r="G284" s="2"/>
    </row>
    <row r="285" ht="15.75" customHeight="1">
      <c r="G285" s="2"/>
    </row>
    <row r="286" ht="15.75" customHeight="1">
      <c r="G286" s="2"/>
    </row>
    <row r="287" ht="15.75" customHeight="1">
      <c r="G287" s="2"/>
    </row>
    <row r="288" ht="15.75" customHeight="1">
      <c r="G288" s="2"/>
    </row>
    <row r="289" ht="15.75" customHeight="1">
      <c r="G289" s="2"/>
    </row>
    <row r="290" ht="15.75" customHeight="1">
      <c r="G290" s="2"/>
    </row>
    <row r="291" ht="15.75" customHeight="1">
      <c r="G291" s="2"/>
    </row>
    <row r="292" ht="15.75" customHeight="1">
      <c r="G292" s="2"/>
    </row>
    <row r="293" ht="15.75" customHeight="1">
      <c r="G293" s="2"/>
    </row>
    <row r="294" ht="15.75" customHeight="1">
      <c r="G294" s="2"/>
    </row>
    <row r="295" ht="15.75" customHeight="1">
      <c r="G295" s="2"/>
    </row>
    <row r="296" ht="15.75" customHeight="1">
      <c r="G296" s="2"/>
    </row>
    <row r="297" ht="15.75" customHeight="1">
      <c r="G297" s="2"/>
    </row>
    <row r="298" ht="15.75" customHeight="1">
      <c r="G298" s="2"/>
    </row>
    <row r="299" ht="15.75" customHeight="1">
      <c r="G299" s="2"/>
    </row>
    <row r="300" ht="15.75" customHeight="1">
      <c r="G300" s="2"/>
    </row>
    <row r="301" ht="15.75" customHeight="1">
      <c r="G301" s="2"/>
    </row>
    <row r="302" ht="15.75" customHeight="1">
      <c r="G302" s="2"/>
    </row>
    <row r="303" ht="15.75" customHeight="1">
      <c r="G303" s="2"/>
    </row>
    <row r="304" ht="15.75" customHeight="1">
      <c r="G304" s="2"/>
    </row>
    <row r="305" ht="15.75" customHeight="1">
      <c r="G305" s="2"/>
    </row>
    <row r="306" ht="15.75" customHeight="1">
      <c r="G306" s="2"/>
    </row>
    <row r="307" ht="15.75" customHeight="1">
      <c r="G307" s="2"/>
    </row>
    <row r="308" ht="15.75" customHeight="1">
      <c r="G308" s="2"/>
    </row>
    <row r="309" ht="15.75" customHeight="1">
      <c r="G309" s="2"/>
    </row>
    <row r="310" ht="15.75" customHeight="1">
      <c r="G310" s="2"/>
    </row>
    <row r="311" ht="15.75" customHeight="1">
      <c r="G311" s="2"/>
    </row>
    <row r="312" ht="15.75" customHeight="1">
      <c r="G312" s="2"/>
    </row>
    <row r="313" ht="15.75" customHeight="1">
      <c r="G313" s="2"/>
    </row>
    <row r="314" ht="15.75" customHeight="1">
      <c r="G314" s="2"/>
    </row>
    <row r="315" ht="15.75" customHeight="1">
      <c r="G315" s="2"/>
    </row>
    <row r="316" ht="15.75" customHeight="1">
      <c r="G316" s="2"/>
    </row>
    <row r="317" ht="15.75" customHeight="1">
      <c r="G317" s="2"/>
    </row>
    <row r="318" ht="15.75" customHeight="1">
      <c r="G318" s="2"/>
    </row>
    <row r="319" ht="15.75" customHeight="1">
      <c r="G319" s="2"/>
    </row>
    <row r="320" ht="15.75" customHeight="1">
      <c r="G320" s="2"/>
    </row>
    <row r="321" ht="15.75" customHeight="1">
      <c r="G321" s="2"/>
    </row>
    <row r="322" ht="15.75" customHeight="1">
      <c r="G322" s="2"/>
    </row>
    <row r="323" ht="15.75" customHeight="1">
      <c r="G323" s="2"/>
    </row>
    <row r="324" ht="15.75" customHeight="1">
      <c r="G324" s="2"/>
    </row>
    <row r="325" ht="15.75" customHeight="1">
      <c r="G325" s="2"/>
    </row>
    <row r="326" ht="15.75" customHeight="1">
      <c r="G326" s="2"/>
    </row>
    <row r="327" ht="15.75" customHeight="1">
      <c r="G327" s="2"/>
    </row>
    <row r="328" ht="15.75" customHeight="1">
      <c r="G328" s="2"/>
    </row>
    <row r="329" ht="15.75" customHeight="1">
      <c r="G329" s="2"/>
    </row>
    <row r="330" ht="15.75" customHeight="1">
      <c r="G330" s="2"/>
    </row>
    <row r="331" ht="15.75" customHeight="1">
      <c r="G331" s="2"/>
    </row>
    <row r="332" ht="15.75" customHeight="1">
      <c r="G332" s="2"/>
    </row>
    <row r="333" ht="15.75" customHeight="1">
      <c r="G333" s="2"/>
    </row>
    <row r="334" ht="15.75" customHeight="1">
      <c r="G334" s="2"/>
    </row>
    <row r="335" ht="15.75" customHeight="1">
      <c r="G335" s="2"/>
    </row>
    <row r="336" ht="15.75" customHeight="1">
      <c r="G336" s="2"/>
    </row>
    <row r="337" ht="15.75" customHeight="1">
      <c r="G337" s="2"/>
    </row>
    <row r="338" ht="15.75" customHeight="1">
      <c r="G338" s="2"/>
    </row>
    <row r="339" ht="15.75" customHeight="1">
      <c r="G339" s="2"/>
    </row>
    <row r="340" ht="15.75" customHeight="1">
      <c r="G340" s="2"/>
    </row>
    <row r="341" ht="15.75" customHeight="1">
      <c r="G341" s="2"/>
    </row>
    <row r="342" ht="15.75" customHeight="1">
      <c r="G342" s="2"/>
    </row>
    <row r="343" ht="15.75" customHeight="1">
      <c r="G343" s="2"/>
    </row>
    <row r="344" ht="15.75" customHeight="1">
      <c r="G344" s="2"/>
    </row>
    <row r="345" ht="15.75" customHeight="1">
      <c r="G345" s="2"/>
    </row>
    <row r="346" ht="15.75" customHeight="1">
      <c r="G346" s="2"/>
    </row>
    <row r="347" ht="15.75" customHeight="1">
      <c r="G347" s="2"/>
    </row>
    <row r="348" ht="15.75" customHeight="1">
      <c r="G348" s="2"/>
    </row>
    <row r="349" ht="15.75" customHeight="1">
      <c r="G349" s="2"/>
    </row>
    <row r="350" ht="15.75" customHeight="1">
      <c r="G350" s="2"/>
    </row>
    <row r="351" ht="15.75" customHeight="1">
      <c r="G351" s="2"/>
    </row>
    <row r="352" ht="15.75" customHeight="1">
      <c r="G352" s="2"/>
    </row>
    <row r="353" ht="15.75" customHeight="1">
      <c r="G353" s="2"/>
    </row>
    <row r="354" ht="15.75" customHeight="1">
      <c r="G354" s="2"/>
    </row>
    <row r="355" ht="15.75" customHeight="1">
      <c r="G355" s="2"/>
    </row>
    <row r="356" ht="15.75" customHeight="1">
      <c r="G356" s="2"/>
    </row>
    <row r="357" ht="15.75" customHeight="1">
      <c r="G357" s="2"/>
    </row>
    <row r="358" ht="15.75" customHeight="1">
      <c r="G358" s="2"/>
    </row>
    <row r="359" ht="15.75" customHeight="1">
      <c r="G359" s="2"/>
    </row>
    <row r="360" ht="15.75" customHeight="1">
      <c r="G360" s="2"/>
    </row>
    <row r="361" ht="15.75" customHeight="1">
      <c r="G361" s="2"/>
    </row>
    <row r="362" ht="15.75" customHeight="1">
      <c r="G362" s="2"/>
    </row>
    <row r="363" ht="15.75" customHeight="1">
      <c r="G363" s="2"/>
    </row>
    <row r="364" ht="15.75" customHeight="1">
      <c r="G364" s="2"/>
    </row>
    <row r="365" ht="15.75" customHeight="1">
      <c r="G365" s="2"/>
    </row>
    <row r="366" ht="15.75" customHeight="1">
      <c r="G366" s="2"/>
    </row>
    <row r="367" ht="15.75" customHeight="1">
      <c r="G367" s="2"/>
    </row>
    <row r="368" ht="15.75" customHeight="1">
      <c r="G368" s="2"/>
    </row>
    <row r="369" ht="15.75" customHeight="1">
      <c r="G369" s="2"/>
    </row>
    <row r="370" ht="15.75" customHeight="1">
      <c r="G370" s="2"/>
    </row>
    <row r="371" ht="15.75" customHeight="1">
      <c r="G371" s="2"/>
    </row>
    <row r="372" ht="15.75" customHeight="1">
      <c r="G372" s="2"/>
    </row>
    <row r="373" ht="15.75" customHeight="1">
      <c r="G373" s="2"/>
    </row>
    <row r="374" ht="15.75" customHeight="1">
      <c r="G374" s="2"/>
    </row>
    <row r="375" ht="15.75" customHeight="1">
      <c r="G375" s="2"/>
    </row>
    <row r="376" ht="15.75" customHeight="1">
      <c r="G376" s="2"/>
    </row>
    <row r="377" ht="15.75" customHeight="1">
      <c r="G377" s="2"/>
    </row>
    <row r="378" ht="15.75" customHeight="1">
      <c r="G378" s="2"/>
    </row>
    <row r="379" ht="15.75" customHeight="1">
      <c r="G379" s="2"/>
    </row>
    <row r="380" ht="15.75" customHeight="1">
      <c r="G380" s="2"/>
    </row>
    <row r="381" ht="15.75" customHeight="1">
      <c r="G381" s="2"/>
    </row>
    <row r="382" ht="15.75" customHeight="1">
      <c r="G382" s="2"/>
    </row>
    <row r="383" ht="15.75" customHeight="1">
      <c r="G383" s="2"/>
    </row>
    <row r="384" ht="15.75" customHeight="1">
      <c r="G384" s="2"/>
    </row>
    <row r="385" ht="15.75" customHeight="1">
      <c r="G385" s="2"/>
    </row>
    <row r="386" ht="15.75" customHeight="1">
      <c r="G386" s="2"/>
    </row>
    <row r="387" ht="15.75" customHeight="1">
      <c r="G387" s="2"/>
    </row>
    <row r="388" ht="15.75" customHeight="1">
      <c r="G388" s="2"/>
    </row>
    <row r="389" ht="15.75" customHeight="1">
      <c r="G389" s="2"/>
    </row>
    <row r="390" ht="15.75" customHeight="1">
      <c r="G390" s="2"/>
    </row>
    <row r="391" ht="15.75" customHeight="1">
      <c r="G391" s="2"/>
    </row>
    <row r="392" ht="15.75" customHeight="1">
      <c r="G392" s="2"/>
    </row>
    <row r="393" ht="15.75" customHeight="1">
      <c r="G393" s="2"/>
    </row>
    <row r="394" ht="15.75" customHeight="1">
      <c r="G394" s="2"/>
    </row>
    <row r="395" ht="15.75" customHeight="1">
      <c r="G395" s="2"/>
    </row>
    <row r="396" ht="15.75" customHeight="1">
      <c r="G396" s="2"/>
    </row>
    <row r="397" ht="15.75" customHeight="1">
      <c r="G397" s="2"/>
    </row>
    <row r="398" ht="15.75" customHeight="1">
      <c r="G398" s="2"/>
    </row>
    <row r="399" ht="15.75" customHeight="1">
      <c r="G399" s="2"/>
    </row>
    <row r="400" ht="15.75" customHeight="1">
      <c r="G400" s="2"/>
    </row>
    <row r="401" ht="15.75" customHeight="1">
      <c r="G401" s="2"/>
    </row>
    <row r="402" ht="15.75" customHeight="1">
      <c r="G402" s="2"/>
    </row>
    <row r="403" ht="15.75" customHeight="1">
      <c r="G403" s="2"/>
    </row>
    <row r="404" ht="15.75" customHeight="1">
      <c r="G404" s="2"/>
    </row>
    <row r="405" ht="15.75" customHeight="1">
      <c r="G405" s="2"/>
    </row>
    <row r="406" ht="15.75" customHeight="1">
      <c r="G406" s="2"/>
    </row>
    <row r="407" ht="15.75" customHeight="1">
      <c r="G407" s="2"/>
    </row>
    <row r="408" ht="15.75" customHeight="1">
      <c r="G408" s="2"/>
    </row>
    <row r="409" ht="15.75" customHeight="1">
      <c r="G409" s="2"/>
    </row>
    <row r="410" ht="15.75" customHeight="1">
      <c r="G410" s="2"/>
    </row>
    <row r="411" ht="15.75" customHeight="1">
      <c r="G411" s="2"/>
    </row>
    <row r="412" ht="15.75" customHeight="1">
      <c r="G412" s="2"/>
    </row>
    <row r="413" ht="15.75" customHeight="1">
      <c r="G413" s="2"/>
    </row>
    <row r="414" ht="15.75" customHeight="1">
      <c r="G414" s="2"/>
    </row>
    <row r="415" ht="15.75" customHeight="1">
      <c r="G415" s="2"/>
    </row>
    <row r="416" ht="15.75" customHeight="1">
      <c r="G416" s="2"/>
    </row>
    <row r="417" ht="15.75" customHeight="1">
      <c r="G417" s="2"/>
    </row>
    <row r="418" ht="15.75" customHeight="1">
      <c r="G418" s="2"/>
    </row>
    <row r="419" ht="15.75" customHeight="1">
      <c r="G419" s="2"/>
    </row>
    <row r="420" ht="15.75" customHeight="1">
      <c r="G420" s="2"/>
    </row>
    <row r="421" ht="15.75" customHeight="1">
      <c r="G421" s="2"/>
    </row>
    <row r="422" ht="15.75" customHeight="1">
      <c r="G422" s="2"/>
    </row>
    <row r="423" ht="15.75" customHeight="1">
      <c r="G423" s="2"/>
    </row>
    <row r="424" ht="15.75" customHeight="1">
      <c r="G424" s="2"/>
    </row>
    <row r="425" ht="15.75" customHeight="1">
      <c r="G425" s="2"/>
    </row>
    <row r="426" ht="15.75" customHeight="1">
      <c r="G426" s="2"/>
    </row>
    <row r="427" ht="15.75" customHeight="1">
      <c r="G427" s="2"/>
    </row>
    <row r="428" ht="15.75" customHeight="1">
      <c r="G428" s="2"/>
    </row>
    <row r="429" ht="15.75" customHeight="1">
      <c r="G429" s="2"/>
    </row>
    <row r="430" ht="15.75" customHeight="1">
      <c r="G430" s="2"/>
    </row>
    <row r="431" ht="15.75" customHeight="1">
      <c r="G431" s="2"/>
    </row>
    <row r="432" ht="15.75" customHeight="1">
      <c r="G432" s="2"/>
    </row>
    <row r="433" ht="15.75" customHeight="1">
      <c r="G433" s="2"/>
    </row>
    <row r="434" ht="15.75" customHeight="1">
      <c r="G434" s="2"/>
    </row>
    <row r="435" ht="15.75" customHeight="1">
      <c r="G435" s="2"/>
    </row>
    <row r="436" ht="15.75" customHeight="1">
      <c r="G436" s="2"/>
    </row>
    <row r="437" ht="15.75" customHeight="1">
      <c r="G437" s="2"/>
    </row>
    <row r="438" ht="15.75" customHeight="1">
      <c r="G438" s="2"/>
    </row>
    <row r="439" ht="15.75" customHeight="1">
      <c r="G439" s="2"/>
    </row>
    <row r="440" ht="15.75" customHeight="1">
      <c r="G440" s="2"/>
    </row>
    <row r="441" ht="15.75" customHeight="1">
      <c r="G441" s="2"/>
    </row>
    <row r="442" ht="15.75" customHeight="1">
      <c r="G442" s="2"/>
    </row>
    <row r="443" ht="15.75" customHeight="1">
      <c r="G443" s="2"/>
    </row>
    <row r="444" ht="15.75" customHeight="1">
      <c r="G444" s="2"/>
    </row>
    <row r="445" ht="15.75" customHeight="1">
      <c r="G445" s="2"/>
    </row>
    <row r="446" ht="15.75" customHeight="1">
      <c r="G446" s="2"/>
    </row>
    <row r="447" ht="15.75" customHeight="1">
      <c r="G447" s="2"/>
    </row>
    <row r="448" ht="15.75" customHeight="1">
      <c r="G448" s="2"/>
    </row>
    <row r="449" ht="15.75" customHeight="1">
      <c r="G449" s="2"/>
    </row>
    <row r="450" ht="15.75" customHeight="1">
      <c r="G450" s="2"/>
    </row>
    <row r="451" ht="15.75" customHeight="1">
      <c r="G451" s="2"/>
    </row>
    <row r="452" ht="15.75" customHeight="1">
      <c r="G452" s="2"/>
    </row>
    <row r="453" ht="15.75" customHeight="1">
      <c r="G453" s="2"/>
    </row>
    <row r="454" ht="15.75" customHeight="1">
      <c r="G454" s="2"/>
    </row>
    <row r="455" ht="15.75" customHeight="1">
      <c r="G455" s="2"/>
    </row>
    <row r="456" ht="15.75" customHeight="1">
      <c r="G456" s="2"/>
    </row>
    <row r="457" ht="15.75" customHeight="1">
      <c r="G457" s="2"/>
    </row>
    <row r="458" ht="15.75" customHeight="1">
      <c r="G458" s="2"/>
    </row>
    <row r="459" ht="15.75" customHeight="1">
      <c r="G459" s="2"/>
    </row>
    <row r="460" ht="15.75" customHeight="1">
      <c r="G460" s="2"/>
    </row>
    <row r="461" ht="15.75" customHeight="1">
      <c r="G461" s="2"/>
    </row>
    <row r="462" ht="15.75" customHeight="1">
      <c r="G462" s="2"/>
    </row>
    <row r="463" ht="15.75" customHeight="1">
      <c r="G463" s="2"/>
    </row>
    <row r="464" ht="15.75" customHeight="1">
      <c r="G464" s="2"/>
    </row>
    <row r="465" ht="15.75" customHeight="1">
      <c r="G465" s="2"/>
    </row>
    <row r="466" ht="15.75" customHeight="1">
      <c r="G466" s="2"/>
    </row>
    <row r="467" ht="15.75" customHeight="1">
      <c r="G467" s="2"/>
    </row>
    <row r="468" ht="15.75" customHeight="1">
      <c r="G468" s="2"/>
    </row>
    <row r="469" ht="15.75" customHeight="1">
      <c r="G469" s="2"/>
    </row>
    <row r="470" ht="15.75" customHeight="1">
      <c r="G470" s="2"/>
    </row>
    <row r="471" ht="15.75" customHeight="1">
      <c r="G471" s="2"/>
    </row>
    <row r="472" ht="15.75" customHeight="1">
      <c r="G472" s="2"/>
    </row>
    <row r="473" ht="15.75" customHeight="1">
      <c r="G473" s="2"/>
    </row>
    <row r="474" ht="15.75" customHeight="1">
      <c r="G474" s="2"/>
    </row>
    <row r="475" ht="15.75" customHeight="1">
      <c r="G475" s="2"/>
    </row>
    <row r="476" ht="15.75" customHeight="1">
      <c r="G476" s="2"/>
    </row>
    <row r="477" ht="15.75" customHeight="1">
      <c r="G477" s="2"/>
    </row>
    <row r="478" ht="15.75" customHeight="1">
      <c r="G478" s="2"/>
    </row>
    <row r="479" ht="15.75" customHeight="1">
      <c r="G479" s="2"/>
    </row>
    <row r="480" ht="15.75" customHeight="1">
      <c r="G480" s="2"/>
    </row>
    <row r="481" ht="15.75" customHeight="1">
      <c r="G481" s="2"/>
    </row>
    <row r="482" ht="15.75" customHeight="1">
      <c r="G482" s="2"/>
    </row>
    <row r="483" ht="15.75" customHeight="1">
      <c r="G483" s="2"/>
    </row>
    <row r="484" ht="15.75" customHeight="1">
      <c r="G484" s="2"/>
    </row>
    <row r="485" ht="15.75" customHeight="1">
      <c r="G485" s="2"/>
    </row>
    <row r="486" ht="15.75" customHeight="1">
      <c r="G486" s="2"/>
    </row>
    <row r="487" ht="15.75" customHeight="1">
      <c r="G487" s="2"/>
    </row>
    <row r="488" ht="15.75" customHeight="1">
      <c r="G488" s="2"/>
    </row>
    <row r="489" ht="15.75" customHeight="1">
      <c r="G489" s="2"/>
    </row>
    <row r="490" ht="15.75" customHeight="1">
      <c r="G490" s="2"/>
    </row>
    <row r="491" ht="15.75" customHeight="1">
      <c r="G491" s="2"/>
    </row>
    <row r="492" ht="15.75" customHeight="1">
      <c r="G492" s="2"/>
    </row>
    <row r="493" ht="15.75" customHeight="1">
      <c r="G493" s="2"/>
    </row>
    <row r="494" ht="15.75" customHeight="1">
      <c r="G494" s="2"/>
    </row>
    <row r="495" ht="15.75" customHeight="1">
      <c r="G495" s="2"/>
    </row>
    <row r="496" ht="15.75" customHeight="1">
      <c r="G496" s="2"/>
    </row>
    <row r="497" ht="15.75" customHeight="1">
      <c r="G497" s="2"/>
    </row>
    <row r="498" ht="15.75" customHeight="1">
      <c r="G498" s="2"/>
    </row>
    <row r="499" ht="15.75" customHeight="1">
      <c r="G499" s="2"/>
    </row>
    <row r="500" ht="15.75" customHeight="1">
      <c r="G500" s="2"/>
    </row>
    <row r="501" ht="15.75" customHeight="1">
      <c r="G501" s="2"/>
    </row>
    <row r="502" ht="15.75" customHeight="1">
      <c r="G502" s="2"/>
    </row>
    <row r="503" ht="15.75" customHeight="1">
      <c r="G503" s="2"/>
    </row>
    <row r="504" ht="15.75" customHeight="1">
      <c r="G504" s="2"/>
    </row>
    <row r="505" ht="15.75" customHeight="1">
      <c r="G505" s="2"/>
    </row>
    <row r="506" ht="15.75" customHeight="1">
      <c r="G506" s="2"/>
    </row>
    <row r="507" ht="15.75" customHeight="1">
      <c r="G507" s="2"/>
    </row>
    <row r="508" ht="15.75" customHeight="1">
      <c r="G508" s="2"/>
    </row>
    <row r="509" ht="15.75" customHeight="1">
      <c r="G509" s="2"/>
    </row>
    <row r="510" ht="15.75" customHeight="1">
      <c r="G510" s="2"/>
    </row>
    <row r="511" ht="15.75" customHeight="1">
      <c r="G511" s="2"/>
    </row>
    <row r="512" ht="15.75" customHeight="1">
      <c r="G512" s="2"/>
    </row>
    <row r="513" ht="15.75" customHeight="1">
      <c r="G513" s="2"/>
    </row>
    <row r="514" ht="15.75" customHeight="1">
      <c r="G514" s="2"/>
    </row>
    <row r="515" ht="15.75" customHeight="1">
      <c r="G515" s="2"/>
    </row>
    <row r="516" ht="15.75" customHeight="1">
      <c r="G516" s="2"/>
    </row>
    <row r="517" ht="15.75" customHeight="1">
      <c r="G517" s="2"/>
    </row>
    <row r="518" ht="15.75" customHeight="1">
      <c r="G518" s="2"/>
    </row>
    <row r="519" ht="15.75" customHeight="1">
      <c r="G519" s="2"/>
    </row>
    <row r="520" ht="15.75" customHeight="1">
      <c r="G520" s="2"/>
    </row>
    <row r="521" ht="15.75" customHeight="1">
      <c r="G521" s="2"/>
    </row>
    <row r="522" ht="15.75" customHeight="1">
      <c r="G522" s="2"/>
    </row>
    <row r="523" ht="15.75" customHeight="1">
      <c r="G523" s="2"/>
    </row>
    <row r="524" ht="15.75" customHeight="1">
      <c r="G524" s="2"/>
    </row>
    <row r="525" ht="15.75" customHeight="1">
      <c r="G525" s="2"/>
    </row>
    <row r="526" ht="15.75" customHeight="1">
      <c r="G526" s="2"/>
    </row>
    <row r="527" ht="15.75" customHeight="1">
      <c r="G527" s="2"/>
    </row>
    <row r="528" ht="15.75" customHeight="1">
      <c r="G528" s="2"/>
    </row>
    <row r="529" ht="15.75" customHeight="1">
      <c r="G529" s="2"/>
    </row>
    <row r="530" ht="15.75" customHeight="1">
      <c r="G530" s="2"/>
    </row>
    <row r="531" ht="15.75" customHeight="1">
      <c r="G531" s="2"/>
    </row>
    <row r="532" ht="15.75" customHeight="1">
      <c r="G532" s="2"/>
    </row>
    <row r="533" ht="15.75" customHeight="1">
      <c r="G533" s="2"/>
    </row>
    <row r="534" ht="15.75" customHeight="1">
      <c r="G534" s="2"/>
    </row>
    <row r="535" ht="15.75" customHeight="1">
      <c r="G535" s="2"/>
    </row>
    <row r="536" ht="15.75" customHeight="1">
      <c r="G536" s="2"/>
    </row>
    <row r="537" ht="15.75" customHeight="1">
      <c r="G537" s="2"/>
    </row>
    <row r="538" ht="15.75" customHeight="1">
      <c r="G538" s="2"/>
    </row>
    <row r="539" ht="15.75" customHeight="1">
      <c r="G539" s="2"/>
    </row>
    <row r="540" ht="15.75" customHeight="1">
      <c r="G540" s="2"/>
    </row>
    <row r="541" ht="15.75" customHeight="1">
      <c r="G541" s="2"/>
    </row>
    <row r="542" ht="15.75" customHeight="1">
      <c r="G542" s="2"/>
    </row>
    <row r="543" ht="15.75" customHeight="1">
      <c r="G543" s="2"/>
    </row>
    <row r="544" ht="15.75" customHeight="1">
      <c r="G544" s="2"/>
    </row>
    <row r="545" ht="15.75" customHeight="1">
      <c r="G545" s="2"/>
    </row>
    <row r="546" ht="15.75" customHeight="1">
      <c r="G546" s="2"/>
    </row>
    <row r="547" ht="15.75" customHeight="1">
      <c r="G547" s="2"/>
    </row>
    <row r="548" ht="15.75" customHeight="1">
      <c r="G548" s="2"/>
    </row>
    <row r="549" ht="15.75" customHeight="1">
      <c r="G549" s="2"/>
    </row>
    <row r="550" ht="15.75" customHeight="1">
      <c r="G550" s="2"/>
    </row>
    <row r="551" ht="15.75" customHeight="1">
      <c r="G551" s="2"/>
    </row>
    <row r="552" ht="15.75" customHeight="1">
      <c r="G552" s="2"/>
    </row>
    <row r="553" ht="15.75" customHeight="1">
      <c r="G553" s="2"/>
    </row>
    <row r="554" ht="15.75" customHeight="1">
      <c r="G554" s="2"/>
    </row>
    <row r="555" ht="15.75" customHeight="1">
      <c r="G555" s="2"/>
    </row>
    <row r="556" ht="15.75" customHeight="1">
      <c r="G556" s="2"/>
    </row>
    <row r="557" ht="15.75" customHeight="1">
      <c r="G557" s="2"/>
    </row>
    <row r="558" ht="15.75" customHeight="1">
      <c r="G558" s="2"/>
    </row>
    <row r="559" ht="15.75" customHeight="1">
      <c r="G559" s="2"/>
    </row>
    <row r="560" ht="15.75" customHeight="1">
      <c r="G560" s="2"/>
    </row>
    <row r="561" ht="15.75" customHeight="1">
      <c r="G561" s="2"/>
    </row>
    <row r="562" ht="15.75" customHeight="1">
      <c r="G562" s="2"/>
    </row>
    <row r="563" ht="15.75" customHeight="1">
      <c r="G563" s="2"/>
    </row>
    <row r="564" ht="15.75" customHeight="1">
      <c r="G564" s="2"/>
    </row>
    <row r="565" ht="15.75" customHeight="1">
      <c r="G565" s="2"/>
    </row>
    <row r="566" ht="15.75" customHeight="1">
      <c r="G566" s="2"/>
    </row>
    <row r="567" ht="15.75" customHeight="1">
      <c r="G567" s="2"/>
    </row>
    <row r="568" ht="15.75" customHeight="1">
      <c r="G568" s="2"/>
    </row>
    <row r="569" ht="15.75" customHeight="1">
      <c r="G569" s="2"/>
    </row>
    <row r="570" ht="15.75" customHeight="1">
      <c r="G570" s="2"/>
    </row>
    <row r="571" ht="15.75" customHeight="1">
      <c r="G571" s="2"/>
    </row>
    <row r="572" ht="15.75" customHeight="1">
      <c r="G572" s="2"/>
    </row>
    <row r="573" ht="15.75" customHeight="1">
      <c r="G573" s="2"/>
    </row>
    <row r="574" ht="15.75" customHeight="1">
      <c r="G574" s="2"/>
    </row>
    <row r="575" ht="15.75" customHeight="1">
      <c r="G575" s="2"/>
    </row>
    <row r="576" ht="15.75" customHeight="1">
      <c r="G576" s="2"/>
    </row>
    <row r="577" ht="15.75" customHeight="1">
      <c r="G577" s="2"/>
    </row>
    <row r="578" ht="15.75" customHeight="1">
      <c r="G578" s="2"/>
    </row>
    <row r="579" ht="15.75" customHeight="1">
      <c r="G579" s="2"/>
    </row>
    <row r="580" ht="15.75" customHeight="1">
      <c r="G580" s="2"/>
    </row>
    <row r="581" ht="15.75" customHeight="1">
      <c r="G581" s="2"/>
    </row>
    <row r="582" ht="15.75" customHeight="1">
      <c r="G582" s="2"/>
    </row>
    <row r="583" ht="15.75" customHeight="1">
      <c r="G583" s="2"/>
    </row>
    <row r="584" ht="15.75" customHeight="1">
      <c r="G584" s="2"/>
    </row>
    <row r="585" ht="15.75" customHeight="1">
      <c r="G585" s="2"/>
    </row>
    <row r="586" ht="15.75" customHeight="1">
      <c r="G586" s="2"/>
    </row>
    <row r="587" ht="15.75" customHeight="1">
      <c r="G587" s="2"/>
    </row>
    <row r="588" ht="15.75" customHeight="1">
      <c r="G588" s="2"/>
    </row>
    <row r="589" ht="15.75" customHeight="1">
      <c r="G589" s="2"/>
    </row>
    <row r="590" ht="15.75" customHeight="1">
      <c r="G590" s="2"/>
    </row>
    <row r="591" ht="15.75" customHeight="1">
      <c r="G591" s="2"/>
    </row>
    <row r="592" ht="15.75" customHeight="1">
      <c r="G592" s="2"/>
    </row>
    <row r="593" ht="15.75" customHeight="1">
      <c r="G593" s="2"/>
    </row>
    <row r="594" ht="15.75" customHeight="1">
      <c r="G594" s="2"/>
    </row>
    <row r="595" ht="15.75" customHeight="1">
      <c r="G595" s="2"/>
    </row>
    <row r="596" ht="15.75" customHeight="1">
      <c r="G596" s="2"/>
    </row>
    <row r="597" ht="15.75" customHeight="1">
      <c r="G597" s="2"/>
    </row>
    <row r="598" ht="15.75" customHeight="1">
      <c r="G598" s="2"/>
    </row>
    <row r="599" ht="15.75" customHeight="1">
      <c r="G599" s="2"/>
    </row>
    <row r="600" ht="15.75" customHeight="1">
      <c r="G600" s="2"/>
    </row>
    <row r="601" ht="15.75" customHeight="1">
      <c r="G601" s="2"/>
    </row>
    <row r="602" ht="15.75" customHeight="1">
      <c r="G602" s="2"/>
    </row>
    <row r="603" ht="15.75" customHeight="1">
      <c r="G603" s="2"/>
    </row>
    <row r="604" ht="15.75" customHeight="1">
      <c r="G604" s="2"/>
    </row>
    <row r="605" ht="15.75" customHeight="1">
      <c r="G605" s="2"/>
    </row>
    <row r="606" ht="15.75" customHeight="1">
      <c r="G606" s="2"/>
    </row>
    <row r="607" ht="15.75" customHeight="1">
      <c r="G607" s="2"/>
    </row>
    <row r="608" ht="15.75" customHeight="1">
      <c r="G608" s="2"/>
    </row>
    <row r="609" ht="15.75" customHeight="1">
      <c r="G609" s="2"/>
    </row>
    <row r="610" ht="15.75" customHeight="1">
      <c r="G610" s="2"/>
    </row>
    <row r="611" ht="15.75" customHeight="1">
      <c r="G611" s="2"/>
    </row>
    <row r="612" ht="15.75" customHeight="1">
      <c r="G612" s="2"/>
    </row>
    <row r="613" ht="15.75" customHeight="1">
      <c r="G613" s="2"/>
    </row>
    <row r="614" ht="15.75" customHeight="1">
      <c r="G614" s="2"/>
    </row>
    <row r="615" ht="15.75" customHeight="1">
      <c r="G615" s="2"/>
    </row>
    <row r="616" ht="15.75" customHeight="1">
      <c r="G616" s="2"/>
    </row>
    <row r="617" ht="15.75" customHeight="1">
      <c r="G617" s="2"/>
    </row>
    <row r="618" ht="15.75" customHeight="1">
      <c r="G618" s="2"/>
    </row>
    <row r="619" ht="15.75" customHeight="1">
      <c r="G619" s="2"/>
    </row>
    <row r="620" ht="15.75" customHeight="1">
      <c r="G620" s="2"/>
    </row>
    <row r="621" ht="15.75" customHeight="1">
      <c r="G621" s="2"/>
    </row>
    <row r="622" ht="15.75" customHeight="1">
      <c r="G622" s="2"/>
    </row>
    <row r="623" ht="15.75" customHeight="1">
      <c r="G623" s="2"/>
    </row>
    <row r="624" ht="15.75" customHeight="1">
      <c r="G624" s="2"/>
    </row>
    <row r="625" ht="15.75" customHeight="1">
      <c r="G625" s="2"/>
    </row>
    <row r="626" ht="15.75" customHeight="1">
      <c r="G626" s="2"/>
    </row>
    <row r="627" ht="15.75" customHeight="1">
      <c r="G627" s="2"/>
    </row>
    <row r="628" ht="15.75" customHeight="1">
      <c r="G628" s="2"/>
    </row>
    <row r="629" ht="15.75" customHeight="1">
      <c r="G629" s="2"/>
    </row>
    <row r="630" ht="15.75" customHeight="1">
      <c r="G630" s="2"/>
    </row>
    <row r="631" ht="15.75" customHeight="1">
      <c r="G631" s="2"/>
    </row>
    <row r="632" ht="15.75" customHeight="1">
      <c r="G632" s="2"/>
    </row>
    <row r="633" ht="15.75" customHeight="1">
      <c r="G633" s="2"/>
    </row>
    <row r="634" ht="15.75" customHeight="1">
      <c r="G634" s="2"/>
    </row>
    <row r="635" ht="15.75" customHeight="1">
      <c r="G635" s="2"/>
    </row>
    <row r="636" ht="15.75" customHeight="1">
      <c r="G636" s="2"/>
    </row>
    <row r="637" ht="15.75" customHeight="1">
      <c r="G637" s="2"/>
    </row>
    <row r="638" ht="15.75" customHeight="1">
      <c r="G638" s="2"/>
    </row>
    <row r="639" ht="15.75" customHeight="1">
      <c r="G639" s="2"/>
    </row>
    <row r="640" ht="15.75" customHeight="1">
      <c r="G640" s="2"/>
    </row>
    <row r="641" ht="15.75" customHeight="1">
      <c r="G641" s="2"/>
    </row>
    <row r="642" ht="15.75" customHeight="1">
      <c r="G642" s="2"/>
    </row>
    <row r="643" ht="15.75" customHeight="1">
      <c r="G643" s="2"/>
    </row>
    <row r="644" ht="15.75" customHeight="1">
      <c r="G644" s="2"/>
    </row>
    <row r="645" ht="15.75" customHeight="1">
      <c r="G645" s="2"/>
    </row>
    <row r="646" ht="15.75" customHeight="1">
      <c r="G646" s="2"/>
    </row>
    <row r="647" ht="15.75" customHeight="1">
      <c r="G647" s="2"/>
    </row>
    <row r="648" ht="15.75" customHeight="1">
      <c r="G648" s="2"/>
    </row>
    <row r="649" ht="15.75" customHeight="1">
      <c r="G649" s="2"/>
    </row>
    <row r="650" ht="15.75" customHeight="1">
      <c r="G650" s="2"/>
    </row>
    <row r="651" ht="15.75" customHeight="1">
      <c r="G651" s="2"/>
    </row>
    <row r="652" ht="15.75" customHeight="1">
      <c r="G652" s="2"/>
    </row>
    <row r="653" ht="15.75" customHeight="1">
      <c r="G653" s="2"/>
    </row>
    <row r="654" ht="15.75" customHeight="1">
      <c r="G654" s="2"/>
    </row>
    <row r="655" ht="15.75" customHeight="1">
      <c r="G655" s="2"/>
    </row>
    <row r="656" ht="15.75" customHeight="1">
      <c r="G656" s="2"/>
    </row>
    <row r="657" ht="15.75" customHeight="1">
      <c r="G657" s="2"/>
    </row>
    <row r="658" ht="15.75" customHeight="1">
      <c r="G658" s="2"/>
    </row>
    <row r="659" ht="15.75" customHeight="1">
      <c r="G659" s="2"/>
    </row>
    <row r="660" ht="15.75" customHeight="1">
      <c r="G660" s="2"/>
    </row>
    <row r="661" ht="15.75" customHeight="1">
      <c r="G661" s="2"/>
    </row>
    <row r="662" ht="15.75" customHeight="1">
      <c r="G662" s="2"/>
    </row>
    <row r="663" ht="15.75" customHeight="1">
      <c r="G663" s="2"/>
    </row>
    <row r="664" ht="15.75" customHeight="1">
      <c r="G664" s="2"/>
    </row>
    <row r="665" ht="15.75" customHeight="1">
      <c r="G665" s="2"/>
    </row>
    <row r="666" ht="15.75" customHeight="1">
      <c r="G666" s="2"/>
    </row>
    <row r="667" ht="15.75" customHeight="1">
      <c r="G667" s="2"/>
    </row>
    <row r="668" ht="15.75" customHeight="1">
      <c r="G668" s="2"/>
    </row>
    <row r="669" ht="15.75" customHeight="1">
      <c r="G669" s="2"/>
    </row>
    <row r="670" ht="15.75" customHeight="1">
      <c r="G670" s="2"/>
    </row>
    <row r="671" ht="15.75" customHeight="1">
      <c r="G671" s="2"/>
    </row>
    <row r="672" ht="15.75" customHeight="1">
      <c r="G672" s="2"/>
    </row>
    <row r="673" ht="15.75" customHeight="1">
      <c r="G673" s="2"/>
    </row>
    <row r="674" ht="15.75" customHeight="1">
      <c r="G674" s="2"/>
    </row>
    <row r="675" ht="15.75" customHeight="1">
      <c r="G675" s="2"/>
    </row>
    <row r="676" ht="15.75" customHeight="1">
      <c r="G676" s="2"/>
    </row>
    <row r="677" ht="15.75" customHeight="1">
      <c r="G677" s="2"/>
    </row>
    <row r="678" ht="15.75" customHeight="1">
      <c r="G678" s="2"/>
    </row>
    <row r="679" ht="15.75" customHeight="1">
      <c r="G679" s="2"/>
    </row>
    <row r="680" ht="15.75" customHeight="1">
      <c r="G680" s="2"/>
    </row>
    <row r="681" ht="15.75" customHeight="1">
      <c r="G681" s="2"/>
    </row>
    <row r="682" ht="15.75" customHeight="1">
      <c r="G682" s="2"/>
    </row>
    <row r="683" ht="15.75" customHeight="1">
      <c r="G683" s="2"/>
    </row>
    <row r="684" ht="15.75" customHeight="1">
      <c r="G684" s="2"/>
    </row>
    <row r="685" ht="15.75" customHeight="1">
      <c r="G685" s="2"/>
    </row>
    <row r="686" ht="15.75" customHeight="1">
      <c r="G686" s="2"/>
    </row>
    <row r="687" ht="15.75" customHeight="1">
      <c r="G687" s="2"/>
    </row>
    <row r="688" ht="15.75" customHeight="1">
      <c r="G688" s="2"/>
    </row>
    <row r="689" ht="15.75" customHeight="1">
      <c r="G689" s="2"/>
    </row>
    <row r="690" ht="15.75" customHeight="1">
      <c r="G690" s="2"/>
    </row>
    <row r="691" ht="15.75" customHeight="1">
      <c r="G691" s="2"/>
    </row>
    <row r="692" ht="15.75" customHeight="1">
      <c r="G692" s="2"/>
    </row>
    <row r="693" ht="15.75" customHeight="1">
      <c r="G693" s="2"/>
    </row>
    <row r="694" ht="15.75" customHeight="1">
      <c r="G694" s="2"/>
    </row>
    <row r="695" ht="15.75" customHeight="1">
      <c r="G695" s="2"/>
    </row>
    <row r="696" ht="15.75" customHeight="1">
      <c r="G696" s="2"/>
    </row>
    <row r="697" ht="15.75" customHeight="1">
      <c r="G697" s="2"/>
    </row>
    <row r="698" ht="15.75" customHeight="1">
      <c r="G698" s="2"/>
    </row>
    <row r="699" ht="15.75" customHeight="1">
      <c r="G699" s="2"/>
    </row>
    <row r="700" ht="15.75" customHeight="1">
      <c r="G700" s="2"/>
    </row>
    <row r="701" ht="15.75" customHeight="1">
      <c r="G701" s="2"/>
    </row>
    <row r="702" ht="15.75" customHeight="1">
      <c r="G702" s="2"/>
    </row>
    <row r="703" ht="15.75" customHeight="1">
      <c r="G703" s="2"/>
    </row>
    <row r="704" ht="15.75" customHeight="1">
      <c r="G704" s="2"/>
    </row>
    <row r="705" ht="15.75" customHeight="1">
      <c r="G705" s="2"/>
    </row>
    <row r="706" ht="15.75" customHeight="1">
      <c r="G706" s="2"/>
    </row>
    <row r="707" ht="15.75" customHeight="1">
      <c r="G707" s="2"/>
    </row>
    <row r="708" ht="15.75" customHeight="1">
      <c r="G708" s="2"/>
    </row>
    <row r="709" ht="15.75" customHeight="1">
      <c r="G709" s="2"/>
    </row>
    <row r="710" ht="15.75" customHeight="1">
      <c r="G710" s="2"/>
    </row>
    <row r="711" ht="15.75" customHeight="1">
      <c r="G711" s="2"/>
    </row>
    <row r="712" ht="15.75" customHeight="1">
      <c r="G712" s="2"/>
    </row>
    <row r="713" ht="15.75" customHeight="1">
      <c r="G713" s="2"/>
    </row>
    <row r="714" ht="15.75" customHeight="1">
      <c r="G714" s="2"/>
    </row>
    <row r="715" ht="15.75" customHeight="1">
      <c r="G715" s="2"/>
    </row>
    <row r="716" ht="15.75" customHeight="1">
      <c r="G716" s="2"/>
    </row>
    <row r="717" ht="15.75" customHeight="1">
      <c r="G717" s="2"/>
    </row>
    <row r="718" ht="15.75" customHeight="1">
      <c r="G718" s="2"/>
    </row>
    <row r="719" ht="15.75" customHeight="1">
      <c r="G719" s="2"/>
    </row>
    <row r="720" ht="15.75" customHeight="1">
      <c r="G720" s="2"/>
    </row>
    <row r="721" ht="15.75" customHeight="1">
      <c r="G721" s="2"/>
    </row>
    <row r="722" ht="15.75" customHeight="1">
      <c r="G722" s="2"/>
    </row>
    <row r="723" ht="15.75" customHeight="1">
      <c r="G723" s="2"/>
    </row>
    <row r="724" ht="15.75" customHeight="1">
      <c r="G724" s="2"/>
    </row>
    <row r="725" ht="15.75" customHeight="1">
      <c r="G725" s="2"/>
    </row>
    <row r="726" ht="15.75" customHeight="1">
      <c r="G726" s="2"/>
    </row>
    <row r="727" ht="15.75" customHeight="1">
      <c r="G727" s="2"/>
    </row>
    <row r="728" ht="15.75" customHeight="1">
      <c r="G728" s="2"/>
    </row>
    <row r="729" ht="15.75" customHeight="1">
      <c r="G729" s="2"/>
    </row>
    <row r="730" ht="15.75" customHeight="1">
      <c r="G730" s="2"/>
    </row>
    <row r="731" ht="15.75" customHeight="1">
      <c r="G731" s="2"/>
    </row>
    <row r="732" ht="15.75" customHeight="1">
      <c r="G732" s="2"/>
    </row>
    <row r="733" ht="15.75" customHeight="1">
      <c r="G733" s="2"/>
    </row>
    <row r="734" ht="15.75" customHeight="1">
      <c r="G734" s="2"/>
    </row>
    <row r="735" ht="15.75" customHeight="1">
      <c r="G735" s="2"/>
    </row>
    <row r="736" ht="15.75" customHeight="1">
      <c r="G736" s="2"/>
    </row>
    <row r="737" ht="15.75" customHeight="1">
      <c r="G737" s="2"/>
    </row>
    <row r="738" ht="15.75" customHeight="1">
      <c r="G738" s="2"/>
    </row>
    <row r="739" ht="15.75" customHeight="1">
      <c r="G739" s="2"/>
    </row>
    <row r="740" ht="15.75" customHeight="1">
      <c r="G740" s="2"/>
    </row>
    <row r="741" ht="15.75" customHeight="1">
      <c r="G741" s="2"/>
    </row>
    <row r="742" ht="15.75" customHeight="1">
      <c r="G742" s="2"/>
    </row>
    <row r="743" ht="15.75" customHeight="1">
      <c r="G743" s="2"/>
    </row>
    <row r="744" ht="15.75" customHeight="1">
      <c r="G744" s="2"/>
    </row>
    <row r="745" ht="15.75" customHeight="1">
      <c r="G745" s="2"/>
    </row>
    <row r="746" ht="15.75" customHeight="1">
      <c r="G746" s="2"/>
    </row>
    <row r="747" ht="15.75" customHeight="1">
      <c r="G747" s="2"/>
    </row>
    <row r="748" ht="15.75" customHeight="1">
      <c r="G748" s="2"/>
    </row>
    <row r="749" ht="15.75" customHeight="1">
      <c r="G749" s="2"/>
    </row>
    <row r="750" ht="15.75" customHeight="1">
      <c r="G750" s="2"/>
    </row>
    <row r="751" ht="15.75" customHeight="1">
      <c r="G751" s="2"/>
    </row>
    <row r="752" ht="15.75" customHeight="1">
      <c r="G752" s="2"/>
    </row>
    <row r="753" ht="15.75" customHeight="1">
      <c r="G753" s="2"/>
    </row>
    <row r="754" ht="15.75" customHeight="1">
      <c r="G754" s="2"/>
    </row>
    <row r="755" ht="15.75" customHeight="1">
      <c r="G755" s="2"/>
    </row>
    <row r="756" ht="15.75" customHeight="1">
      <c r="G756" s="2"/>
    </row>
    <row r="757" ht="15.75" customHeight="1">
      <c r="G757" s="2"/>
    </row>
    <row r="758" ht="15.75" customHeight="1">
      <c r="G758" s="2"/>
    </row>
    <row r="759" ht="15.75" customHeight="1">
      <c r="G759" s="2"/>
    </row>
    <row r="760" ht="15.75" customHeight="1">
      <c r="G760" s="2"/>
    </row>
    <row r="761" ht="15.75" customHeight="1">
      <c r="G761" s="2"/>
    </row>
    <row r="762" ht="15.75" customHeight="1">
      <c r="G762" s="2"/>
    </row>
    <row r="763" ht="15.75" customHeight="1">
      <c r="G763" s="2"/>
    </row>
    <row r="764" ht="15.75" customHeight="1">
      <c r="G764" s="2"/>
    </row>
    <row r="765" ht="15.75" customHeight="1">
      <c r="G765" s="2"/>
    </row>
    <row r="766" ht="15.75" customHeight="1">
      <c r="G766" s="2"/>
    </row>
    <row r="767" ht="15.75" customHeight="1">
      <c r="G767" s="2"/>
    </row>
    <row r="768" ht="15.75" customHeight="1">
      <c r="G768" s="2"/>
    </row>
    <row r="769" ht="15.75" customHeight="1">
      <c r="G769" s="2"/>
    </row>
    <row r="770" ht="15.75" customHeight="1">
      <c r="G770" s="2"/>
    </row>
    <row r="771" ht="15.75" customHeight="1">
      <c r="G771" s="2"/>
    </row>
    <row r="772" ht="15.75" customHeight="1">
      <c r="G772" s="2"/>
    </row>
    <row r="773" ht="15.75" customHeight="1">
      <c r="G773" s="2"/>
    </row>
    <row r="774" ht="15.75" customHeight="1">
      <c r="G774" s="2"/>
    </row>
    <row r="775" ht="15.75" customHeight="1">
      <c r="G775" s="2"/>
    </row>
    <row r="776" ht="15.75" customHeight="1">
      <c r="G776" s="2"/>
    </row>
    <row r="777" ht="15.75" customHeight="1">
      <c r="G777" s="2"/>
    </row>
    <row r="778" ht="15.75" customHeight="1">
      <c r="G778" s="2"/>
    </row>
    <row r="779" ht="15.75" customHeight="1">
      <c r="G779" s="2"/>
    </row>
    <row r="780" ht="15.75" customHeight="1">
      <c r="G780" s="2"/>
    </row>
    <row r="781" ht="15.75" customHeight="1">
      <c r="G781" s="2"/>
    </row>
    <row r="782" ht="15.75" customHeight="1">
      <c r="G782" s="2"/>
    </row>
    <row r="783" ht="15.75" customHeight="1">
      <c r="G783" s="2"/>
    </row>
    <row r="784" ht="15.75" customHeight="1">
      <c r="G784" s="2"/>
    </row>
    <row r="785" ht="15.75" customHeight="1">
      <c r="G785" s="2"/>
    </row>
    <row r="786" ht="15.75" customHeight="1">
      <c r="G786" s="2"/>
    </row>
    <row r="787" ht="15.75" customHeight="1">
      <c r="G787" s="2"/>
    </row>
    <row r="788" ht="15.75" customHeight="1">
      <c r="G788" s="2"/>
    </row>
    <row r="789" ht="15.75" customHeight="1">
      <c r="G789" s="2"/>
    </row>
    <row r="790" ht="15.75" customHeight="1">
      <c r="G790" s="2"/>
    </row>
    <row r="791" ht="15.75" customHeight="1">
      <c r="G791" s="2"/>
    </row>
    <row r="792" ht="15.75" customHeight="1">
      <c r="G792" s="2"/>
    </row>
    <row r="793" ht="15.75" customHeight="1">
      <c r="G793" s="2"/>
    </row>
    <row r="794" ht="15.75" customHeight="1">
      <c r="G794" s="2"/>
    </row>
    <row r="795" ht="15.75" customHeight="1">
      <c r="G795" s="2"/>
    </row>
    <row r="796" ht="15.75" customHeight="1">
      <c r="G796" s="2"/>
    </row>
    <row r="797" ht="15.75" customHeight="1">
      <c r="G797" s="2"/>
    </row>
    <row r="798" ht="15.75" customHeight="1">
      <c r="G798" s="2"/>
    </row>
    <row r="799" ht="15.75" customHeight="1">
      <c r="G799" s="2"/>
    </row>
    <row r="800" ht="15.75" customHeight="1">
      <c r="G800" s="2"/>
    </row>
    <row r="801" ht="15.75" customHeight="1">
      <c r="G801" s="2"/>
    </row>
    <row r="802" ht="15.75" customHeight="1">
      <c r="G802" s="2"/>
    </row>
    <row r="803" ht="15.75" customHeight="1">
      <c r="G803" s="2"/>
    </row>
    <row r="804" ht="15.75" customHeight="1">
      <c r="G804" s="2"/>
    </row>
    <row r="805" ht="15.75" customHeight="1">
      <c r="G805" s="2"/>
    </row>
    <row r="806" ht="15.75" customHeight="1">
      <c r="G806" s="2"/>
    </row>
    <row r="807" ht="15.75" customHeight="1">
      <c r="G807" s="2"/>
    </row>
    <row r="808" ht="15.75" customHeight="1">
      <c r="G808" s="2"/>
    </row>
    <row r="809" ht="15.75" customHeight="1">
      <c r="G809" s="2"/>
    </row>
    <row r="810" ht="15.75" customHeight="1">
      <c r="G810" s="2"/>
    </row>
    <row r="811" ht="15.75" customHeight="1">
      <c r="G811" s="2"/>
    </row>
    <row r="812" ht="15.75" customHeight="1">
      <c r="G812" s="2"/>
    </row>
    <row r="813" ht="15.75" customHeight="1">
      <c r="G813" s="2"/>
    </row>
    <row r="814" ht="15.75" customHeight="1">
      <c r="G814" s="2"/>
    </row>
    <row r="815" ht="15.75" customHeight="1">
      <c r="G815" s="2"/>
    </row>
    <row r="816" ht="15.75" customHeight="1">
      <c r="G816" s="2"/>
    </row>
    <row r="817" ht="15.75" customHeight="1">
      <c r="G817" s="2"/>
    </row>
    <row r="818" ht="15.75" customHeight="1">
      <c r="G818" s="2"/>
    </row>
    <row r="819" ht="15.75" customHeight="1">
      <c r="G819" s="2"/>
    </row>
    <row r="820" ht="15.75" customHeight="1">
      <c r="G820" s="2"/>
    </row>
    <row r="821" ht="15.75" customHeight="1">
      <c r="G821" s="2"/>
    </row>
    <row r="822" ht="15.75" customHeight="1">
      <c r="G822" s="2"/>
    </row>
    <row r="823" ht="15.75" customHeight="1">
      <c r="G823" s="2"/>
    </row>
    <row r="824" ht="15.75" customHeight="1">
      <c r="G824" s="2"/>
    </row>
    <row r="825" ht="15.75" customHeight="1">
      <c r="G825" s="2"/>
    </row>
    <row r="826" ht="15.75" customHeight="1">
      <c r="G826" s="2"/>
    </row>
    <row r="827" ht="15.75" customHeight="1">
      <c r="G827" s="2"/>
    </row>
    <row r="828" ht="15.75" customHeight="1">
      <c r="G828" s="2"/>
    </row>
    <row r="829" ht="15.75" customHeight="1">
      <c r="G829" s="2"/>
    </row>
    <row r="830" ht="15.75" customHeight="1">
      <c r="G830" s="2"/>
    </row>
    <row r="831" ht="15.75" customHeight="1">
      <c r="G831" s="2"/>
    </row>
    <row r="832" ht="15.75" customHeight="1">
      <c r="G832" s="2"/>
    </row>
    <row r="833" ht="15.75" customHeight="1">
      <c r="G833" s="2"/>
    </row>
    <row r="834" ht="15.75" customHeight="1">
      <c r="G834" s="2"/>
    </row>
    <row r="835" ht="15.75" customHeight="1">
      <c r="G835" s="2"/>
    </row>
    <row r="836" ht="15.75" customHeight="1">
      <c r="G836" s="2"/>
    </row>
    <row r="837" ht="15.75" customHeight="1">
      <c r="G837" s="2"/>
    </row>
    <row r="838" ht="15.75" customHeight="1">
      <c r="G838" s="2"/>
    </row>
    <row r="839" ht="15.75" customHeight="1">
      <c r="G839" s="2"/>
    </row>
    <row r="840" ht="15.75" customHeight="1">
      <c r="G840" s="2"/>
    </row>
    <row r="841" ht="15.75" customHeight="1">
      <c r="G841" s="2"/>
    </row>
    <row r="842" ht="15.75" customHeight="1">
      <c r="G842" s="2"/>
    </row>
    <row r="843" ht="15.75" customHeight="1">
      <c r="G843" s="2"/>
    </row>
    <row r="844" ht="15.75" customHeight="1">
      <c r="G844" s="2"/>
    </row>
    <row r="845" ht="15.75" customHeight="1">
      <c r="G845" s="2"/>
    </row>
    <row r="846" ht="15.75" customHeight="1">
      <c r="G846" s="2"/>
    </row>
    <row r="847" ht="15.75" customHeight="1">
      <c r="G847" s="2"/>
    </row>
    <row r="848" ht="15.75" customHeight="1">
      <c r="G848" s="2"/>
    </row>
    <row r="849" ht="15.75" customHeight="1">
      <c r="G849" s="2"/>
    </row>
    <row r="850" ht="15.75" customHeight="1">
      <c r="G850" s="2"/>
    </row>
    <row r="851" ht="15.75" customHeight="1">
      <c r="G851" s="2"/>
    </row>
    <row r="852" ht="15.75" customHeight="1">
      <c r="G852" s="2"/>
    </row>
    <row r="853" ht="15.75" customHeight="1">
      <c r="G853" s="2"/>
    </row>
    <row r="854" ht="15.75" customHeight="1">
      <c r="G854" s="2"/>
    </row>
    <row r="855" ht="15.75" customHeight="1">
      <c r="G855" s="2"/>
    </row>
    <row r="856" ht="15.75" customHeight="1">
      <c r="G856" s="2"/>
    </row>
    <row r="857" ht="15.75" customHeight="1">
      <c r="G857" s="2"/>
    </row>
    <row r="858" ht="15.75" customHeight="1">
      <c r="G858" s="2"/>
    </row>
    <row r="859" ht="15.75" customHeight="1">
      <c r="G859" s="2"/>
    </row>
    <row r="860" ht="15.75" customHeight="1">
      <c r="G860" s="2"/>
    </row>
    <row r="861" ht="15.75" customHeight="1">
      <c r="G861" s="2"/>
    </row>
    <row r="862" ht="15.75" customHeight="1">
      <c r="G862" s="2"/>
    </row>
    <row r="863" ht="15.75" customHeight="1">
      <c r="G863" s="2"/>
    </row>
    <row r="864" ht="15.75" customHeight="1">
      <c r="G864" s="2"/>
    </row>
    <row r="865" ht="15.75" customHeight="1">
      <c r="G865" s="2"/>
    </row>
    <row r="866" ht="15.75" customHeight="1">
      <c r="G866" s="2"/>
    </row>
    <row r="867" ht="15.75" customHeight="1">
      <c r="G867" s="2"/>
    </row>
    <row r="868" ht="15.75" customHeight="1">
      <c r="G868" s="2"/>
    </row>
    <row r="869" ht="15.75" customHeight="1">
      <c r="G869" s="2"/>
    </row>
    <row r="870" ht="15.75" customHeight="1">
      <c r="G870" s="2"/>
    </row>
    <row r="871" ht="15.75" customHeight="1">
      <c r="G871" s="2"/>
    </row>
    <row r="872" ht="15.75" customHeight="1">
      <c r="G872" s="2"/>
    </row>
    <row r="873" ht="15.75" customHeight="1">
      <c r="G873" s="2"/>
    </row>
    <row r="874" ht="15.75" customHeight="1">
      <c r="G874" s="2"/>
    </row>
    <row r="875" ht="15.75" customHeight="1">
      <c r="G875" s="2"/>
    </row>
    <row r="876" ht="15.75" customHeight="1">
      <c r="G876" s="2"/>
    </row>
    <row r="877" ht="15.75" customHeight="1">
      <c r="G877" s="2"/>
    </row>
    <row r="878" ht="15.75" customHeight="1">
      <c r="G878" s="2"/>
    </row>
    <row r="879" ht="15.75" customHeight="1">
      <c r="G879" s="2"/>
    </row>
    <row r="880" ht="15.75" customHeight="1">
      <c r="G880" s="2"/>
    </row>
    <row r="881" ht="15.75" customHeight="1">
      <c r="G881" s="2"/>
    </row>
    <row r="882" ht="15.75" customHeight="1">
      <c r="G882" s="2"/>
    </row>
    <row r="883" ht="15.75" customHeight="1">
      <c r="G883" s="2"/>
    </row>
    <row r="884" ht="15.75" customHeight="1">
      <c r="G884" s="2"/>
    </row>
    <row r="885" ht="15.75" customHeight="1">
      <c r="G885" s="2"/>
    </row>
    <row r="886" ht="15.75" customHeight="1">
      <c r="G886" s="2"/>
    </row>
    <row r="887" ht="15.75" customHeight="1">
      <c r="G887" s="2"/>
    </row>
    <row r="888" ht="15.75" customHeight="1">
      <c r="G888" s="2"/>
    </row>
    <row r="889" ht="15.75" customHeight="1">
      <c r="G889" s="2"/>
    </row>
    <row r="890" ht="15.75" customHeight="1">
      <c r="G890" s="2"/>
    </row>
    <row r="891" ht="15.75" customHeight="1">
      <c r="G891" s="2"/>
    </row>
    <row r="892" ht="15.75" customHeight="1">
      <c r="G892" s="2"/>
    </row>
    <row r="893" ht="15.75" customHeight="1">
      <c r="G893" s="2"/>
    </row>
    <row r="894" ht="15.75" customHeight="1">
      <c r="G894" s="2"/>
    </row>
    <row r="895" ht="15.75" customHeight="1">
      <c r="G895" s="2"/>
    </row>
    <row r="896" ht="15.75" customHeight="1">
      <c r="G896" s="2"/>
    </row>
    <row r="897" ht="15.75" customHeight="1">
      <c r="G897" s="2"/>
    </row>
    <row r="898" ht="15.75" customHeight="1">
      <c r="G898" s="2"/>
    </row>
    <row r="899" ht="15.75" customHeight="1">
      <c r="G899" s="2"/>
    </row>
    <row r="900" ht="15.75" customHeight="1">
      <c r="G900" s="2"/>
    </row>
    <row r="901" ht="15.75" customHeight="1">
      <c r="G901" s="2"/>
    </row>
    <row r="902" ht="15.75" customHeight="1">
      <c r="G902" s="2"/>
    </row>
    <row r="903" ht="15.75" customHeight="1">
      <c r="G903" s="2"/>
    </row>
    <row r="904" ht="15.75" customHeight="1">
      <c r="G904" s="2"/>
    </row>
    <row r="905" ht="15.75" customHeight="1">
      <c r="G905" s="2"/>
    </row>
    <row r="906" ht="15.75" customHeight="1">
      <c r="G906" s="2"/>
    </row>
    <row r="907" ht="15.75" customHeight="1">
      <c r="G907" s="2"/>
    </row>
    <row r="908" ht="15.75" customHeight="1">
      <c r="G908" s="2"/>
    </row>
    <row r="909" ht="15.75" customHeight="1">
      <c r="G909" s="2"/>
    </row>
    <row r="910" ht="15.75" customHeight="1">
      <c r="G910" s="2"/>
    </row>
    <row r="911" ht="15.75" customHeight="1">
      <c r="G911" s="2"/>
    </row>
    <row r="912" ht="15.75" customHeight="1">
      <c r="G912" s="2"/>
    </row>
    <row r="913" ht="15.75" customHeight="1">
      <c r="G913" s="2"/>
    </row>
    <row r="914" ht="15.75" customHeight="1">
      <c r="G914" s="2"/>
    </row>
    <row r="915" ht="15.75" customHeight="1">
      <c r="G915" s="2"/>
    </row>
    <row r="916" ht="15.75" customHeight="1">
      <c r="G916" s="2"/>
    </row>
    <row r="917" ht="15.75" customHeight="1">
      <c r="G917" s="2"/>
    </row>
    <row r="918" ht="15.75" customHeight="1">
      <c r="G918" s="2"/>
    </row>
    <row r="919" ht="15.75" customHeight="1">
      <c r="G919" s="2"/>
    </row>
    <row r="920" ht="15.75" customHeight="1">
      <c r="G920" s="2"/>
    </row>
    <row r="921" ht="15.75" customHeight="1">
      <c r="G921" s="2"/>
    </row>
    <row r="922" ht="15.75" customHeight="1">
      <c r="G922" s="2"/>
    </row>
    <row r="923" ht="15.75" customHeight="1">
      <c r="G923" s="2"/>
    </row>
    <row r="924" ht="15.75" customHeight="1">
      <c r="G924" s="2"/>
    </row>
    <row r="925" ht="15.75" customHeight="1">
      <c r="G925" s="2"/>
    </row>
    <row r="926" ht="15.75" customHeight="1">
      <c r="G926" s="2"/>
    </row>
    <row r="927" ht="15.75" customHeight="1">
      <c r="G927" s="2"/>
    </row>
    <row r="928" ht="15.75" customHeight="1">
      <c r="G928" s="2"/>
    </row>
    <row r="929" ht="15.75" customHeight="1">
      <c r="G929" s="2"/>
    </row>
    <row r="930" ht="15.75" customHeight="1">
      <c r="G930" s="2"/>
    </row>
    <row r="931" ht="15.75" customHeight="1">
      <c r="G931" s="2"/>
    </row>
    <row r="932" ht="15.75" customHeight="1">
      <c r="G932" s="2"/>
    </row>
    <row r="933" ht="15.75" customHeight="1">
      <c r="G933" s="2"/>
    </row>
    <row r="934" ht="15.75" customHeight="1">
      <c r="G934" s="2"/>
    </row>
    <row r="935" ht="15.75" customHeight="1">
      <c r="G935" s="2"/>
    </row>
    <row r="936" ht="15.75" customHeight="1">
      <c r="G936" s="2"/>
    </row>
    <row r="937" ht="15.75" customHeight="1">
      <c r="G937" s="2"/>
    </row>
    <row r="938" ht="15.75" customHeight="1">
      <c r="G938" s="2"/>
    </row>
    <row r="939" ht="15.75" customHeight="1">
      <c r="G939" s="2"/>
    </row>
    <row r="940" ht="15.75" customHeight="1">
      <c r="G940" s="2"/>
    </row>
    <row r="941" ht="15.75" customHeight="1">
      <c r="G941" s="2"/>
    </row>
    <row r="942" ht="15.75" customHeight="1">
      <c r="G942" s="2"/>
    </row>
    <row r="943" ht="15.75" customHeight="1">
      <c r="G943" s="2"/>
    </row>
    <row r="944" ht="15.75" customHeight="1">
      <c r="G944" s="2"/>
    </row>
    <row r="945" ht="15.75" customHeight="1">
      <c r="G945" s="2"/>
    </row>
    <row r="946" ht="15.75" customHeight="1">
      <c r="G946" s="2"/>
    </row>
    <row r="947" ht="15.75" customHeight="1">
      <c r="G947" s="2"/>
    </row>
    <row r="948" ht="15.75" customHeight="1">
      <c r="G948" s="2"/>
    </row>
    <row r="949" ht="15.75" customHeight="1">
      <c r="G949" s="2"/>
    </row>
    <row r="950" ht="15.75" customHeight="1">
      <c r="G950" s="2"/>
    </row>
    <row r="951" ht="15.75" customHeight="1">
      <c r="G951" s="2"/>
    </row>
    <row r="952" ht="15.75" customHeight="1">
      <c r="G952" s="2"/>
    </row>
    <row r="953" ht="15.75" customHeight="1">
      <c r="G953" s="2"/>
    </row>
    <row r="954" ht="15.75" customHeight="1">
      <c r="G954" s="2"/>
    </row>
    <row r="955" ht="15.75" customHeight="1">
      <c r="G955" s="2"/>
    </row>
    <row r="956" ht="15.75" customHeight="1">
      <c r="G956" s="2"/>
    </row>
    <row r="957" ht="15.75" customHeight="1">
      <c r="G957" s="2"/>
    </row>
    <row r="958" ht="15.75" customHeight="1">
      <c r="G958" s="2"/>
    </row>
    <row r="959" ht="15.75" customHeight="1">
      <c r="G959" s="2"/>
    </row>
    <row r="960" ht="15.75" customHeight="1">
      <c r="G960" s="2"/>
    </row>
    <row r="961" ht="15.75" customHeight="1">
      <c r="G961" s="2"/>
    </row>
    <row r="962" ht="15.75" customHeight="1">
      <c r="G962" s="2"/>
    </row>
    <row r="963" ht="15.75" customHeight="1">
      <c r="G963" s="2"/>
    </row>
    <row r="964" ht="15.75" customHeight="1">
      <c r="G964" s="2"/>
    </row>
    <row r="965" ht="15.75" customHeight="1">
      <c r="G965" s="2"/>
    </row>
    <row r="966" ht="15.75" customHeight="1">
      <c r="G966" s="2"/>
    </row>
    <row r="967" ht="15.75" customHeight="1">
      <c r="G967" s="2"/>
    </row>
    <row r="968" ht="15.75" customHeight="1">
      <c r="G968" s="2"/>
    </row>
    <row r="969" ht="15.75" customHeight="1">
      <c r="G969" s="2"/>
    </row>
    <row r="970" ht="15.75" customHeight="1">
      <c r="G970" s="2"/>
    </row>
    <row r="971" ht="15.75" customHeight="1">
      <c r="G971" s="2"/>
    </row>
    <row r="972" ht="15.75" customHeight="1">
      <c r="G972" s="2"/>
    </row>
    <row r="973" ht="15.75" customHeight="1">
      <c r="G973" s="2"/>
    </row>
    <row r="974" ht="15.75" customHeight="1">
      <c r="G974" s="2"/>
    </row>
    <row r="975" ht="15.75" customHeight="1">
      <c r="G975" s="2"/>
    </row>
    <row r="976" ht="15.75" customHeight="1">
      <c r="G976" s="2"/>
    </row>
    <row r="977" ht="15.75" customHeight="1">
      <c r="G977" s="2"/>
    </row>
    <row r="978" ht="15.75" customHeight="1">
      <c r="G978" s="2"/>
    </row>
    <row r="979" ht="15.75" customHeight="1">
      <c r="G979" s="2"/>
    </row>
    <row r="980" ht="15.75" customHeight="1">
      <c r="G980" s="2"/>
    </row>
    <row r="981" ht="15.75" customHeight="1">
      <c r="G981" s="2"/>
    </row>
    <row r="982" ht="15.75" customHeight="1">
      <c r="G982" s="2"/>
    </row>
    <row r="983" ht="15.75" customHeight="1">
      <c r="G983" s="2"/>
    </row>
    <row r="984" ht="15.75" customHeight="1">
      <c r="G984" s="2"/>
    </row>
    <row r="985" ht="15.75" customHeight="1">
      <c r="G985" s="2"/>
    </row>
    <row r="986" ht="15.75" customHeight="1">
      <c r="G986" s="2"/>
    </row>
    <row r="987" ht="15.75" customHeight="1">
      <c r="G987" s="2"/>
    </row>
    <row r="988" ht="15.75" customHeight="1">
      <c r="G988" s="2"/>
    </row>
    <row r="989" ht="15.75" customHeight="1">
      <c r="G989" s="2"/>
    </row>
    <row r="990" ht="15.75" customHeight="1">
      <c r="G990" s="2"/>
    </row>
    <row r="991" ht="15.75" customHeight="1">
      <c r="G991" s="2"/>
    </row>
    <row r="992" ht="15.75" customHeight="1">
      <c r="G992" s="2"/>
    </row>
    <row r="993" ht="15.75" customHeight="1">
      <c r="G993" s="2"/>
    </row>
    <row r="994" ht="15.75" customHeight="1">
      <c r="G994" s="2"/>
    </row>
    <row r="995" ht="15.75" customHeight="1">
      <c r="G995" s="2"/>
    </row>
    <row r="996" ht="15.75" customHeight="1">
      <c r="G996" s="2"/>
    </row>
    <row r="997" ht="15.75" customHeight="1">
      <c r="G997" s="2"/>
    </row>
    <row r="998" ht="15.75" customHeight="1">
      <c r="G998" s="2"/>
    </row>
    <row r="999" ht="15.75" customHeight="1">
      <c r="G999" s="2"/>
    </row>
    <row r="1000" ht="15.75" customHeight="1">
      <c r="G1000" s="2"/>
    </row>
  </sheetData>
  <mergeCells count="4">
    <mergeCell ref="A1:E1"/>
    <mergeCell ref="A31:E31"/>
    <mergeCell ref="A38:E38"/>
    <mergeCell ref="A61:E6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25"/>
    <col customWidth="1" min="3" max="3" width="18.13"/>
    <col customWidth="1" min="4" max="4" width="22.38"/>
  </cols>
  <sheetData>
    <row r="1">
      <c r="A1" s="8" t="s">
        <v>97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98</v>
      </c>
      <c r="B2" s="10" t="s">
        <v>99</v>
      </c>
      <c r="C2" s="10" t="s">
        <v>100</v>
      </c>
      <c r="D2" s="10" t="s">
        <v>101</v>
      </c>
      <c r="E2" s="10" t="s">
        <v>102</v>
      </c>
      <c r="F2" s="10" t="s">
        <v>103</v>
      </c>
      <c r="G2" s="10" t="s">
        <v>104</v>
      </c>
      <c r="H2" s="10" t="s">
        <v>105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1.0</v>
      </c>
      <c r="B3" s="12" t="s">
        <v>106</v>
      </c>
      <c r="C3" s="13" t="s">
        <v>107</v>
      </c>
      <c r="D3" s="13" t="s">
        <v>108</v>
      </c>
      <c r="E3" s="11">
        <v>2450.0</v>
      </c>
      <c r="F3" s="11">
        <v>4700.0</v>
      </c>
      <c r="G3" s="11">
        <v>4900.0</v>
      </c>
      <c r="H3" s="11">
        <v>12050.0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>
        <v>2.0</v>
      </c>
      <c r="B4" s="12" t="s">
        <v>109</v>
      </c>
      <c r="C4" s="13" t="s">
        <v>110</v>
      </c>
      <c r="D4" s="13" t="s">
        <v>108</v>
      </c>
      <c r="E4" s="11">
        <v>4950.0</v>
      </c>
      <c r="F4" s="11">
        <v>4700.0</v>
      </c>
      <c r="G4" s="11">
        <v>4900.0</v>
      </c>
      <c r="H4" s="11">
        <v>14550.0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>
        <v>3.0</v>
      </c>
      <c r="B5" s="12" t="s">
        <v>111</v>
      </c>
      <c r="C5" s="13" t="s">
        <v>110</v>
      </c>
      <c r="D5" s="13" t="s">
        <v>108</v>
      </c>
      <c r="E5" s="11">
        <v>4950.0</v>
      </c>
      <c r="F5" s="11">
        <v>4900.0</v>
      </c>
      <c r="G5" s="11">
        <v>4900.0</v>
      </c>
      <c r="H5" s="11">
        <v>14750.0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>
        <v>4.0</v>
      </c>
      <c r="B6" s="12" t="s">
        <v>112</v>
      </c>
      <c r="C6" s="13" t="s">
        <v>110</v>
      </c>
      <c r="D6" s="13" t="s">
        <v>108</v>
      </c>
      <c r="E6" s="11">
        <v>4950.0</v>
      </c>
      <c r="F6" s="11">
        <v>7050.0</v>
      </c>
      <c r="G6" s="11">
        <v>4900.0</v>
      </c>
      <c r="H6" s="11">
        <v>16900.0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>
        <v>5.0</v>
      </c>
      <c r="B7" s="12" t="s">
        <v>113</v>
      </c>
      <c r="C7" s="13" t="s">
        <v>110</v>
      </c>
      <c r="D7" s="13" t="s">
        <v>114</v>
      </c>
      <c r="E7" s="11">
        <v>4950.0</v>
      </c>
      <c r="F7" s="11">
        <v>10900.0</v>
      </c>
      <c r="G7" s="11">
        <v>4900.0</v>
      </c>
      <c r="H7" s="11">
        <v>20750.0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v>6.0</v>
      </c>
      <c r="B8" s="12" t="s">
        <v>115</v>
      </c>
      <c r="C8" s="13" t="s">
        <v>116</v>
      </c>
      <c r="D8" s="13" t="s">
        <v>114</v>
      </c>
      <c r="E8" s="11">
        <v>7750.0</v>
      </c>
      <c r="F8" s="11">
        <v>10900.0</v>
      </c>
      <c r="G8" s="11">
        <v>4900.0</v>
      </c>
      <c r="H8" s="11">
        <v>23550.0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>
        <v>7.0</v>
      </c>
      <c r="B9" s="12" t="s">
        <v>117</v>
      </c>
      <c r="C9" s="13" t="s">
        <v>118</v>
      </c>
      <c r="D9" s="13" t="s">
        <v>114</v>
      </c>
      <c r="E9" s="11">
        <v>8700.0</v>
      </c>
      <c r="F9" s="11">
        <v>14300.0</v>
      </c>
      <c r="G9" s="14" t="s">
        <v>119</v>
      </c>
      <c r="H9" s="11">
        <v>23000.0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>
        <v>8.0</v>
      </c>
      <c r="B10" s="12" t="s">
        <v>120</v>
      </c>
      <c r="C10" s="13" t="s">
        <v>121</v>
      </c>
      <c r="D10" s="13" t="s">
        <v>114</v>
      </c>
      <c r="E10" s="11">
        <v>10200.0</v>
      </c>
      <c r="F10" s="11">
        <v>14300.0</v>
      </c>
      <c r="G10" s="14" t="s">
        <v>119</v>
      </c>
      <c r="H10" s="11">
        <v>24500.0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v>9.0</v>
      </c>
      <c r="B11" s="12" t="s">
        <v>122</v>
      </c>
      <c r="C11" s="13" t="s">
        <v>123</v>
      </c>
      <c r="D11" s="9"/>
      <c r="E11" s="14" t="s">
        <v>119</v>
      </c>
      <c r="F11" s="14" t="s">
        <v>119</v>
      </c>
      <c r="G11" s="11">
        <v>7700.0</v>
      </c>
      <c r="H11" s="11">
        <v>7700.0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0"/>
    <col customWidth="1" min="3" max="3" width="20.75"/>
    <col customWidth="1" min="4" max="4" width="22.63"/>
  </cols>
  <sheetData>
    <row r="1">
      <c r="A1" s="8" t="s">
        <v>124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98</v>
      </c>
      <c r="B2" s="10" t="s">
        <v>99</v>
      </c>
      <c r="C2" s="10" t="s">
        <v>100</v>
      </c>
      <c r="D2" s="10" t="s">
        <v>101</v>
      </c>
      <c r="E2" s="10" t="s">
        <v>102</v>
      </c>
      <c r="F2" s="10" t="s">
        <v>103</v>
      </c>
      <c r="G2" s="10" t="s">
        <v>125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1.0</v>
      </c>
      <c r="B3" s="12" t="s">
        <v>126</v>
      </c>
      <c r="C3" s="13" t="s">
        <v>127</v>
      </c>
      <c r="D3" s="13" t="s">
        <v>128</v>
      </c>
      <c r="E3" s="11">
        <v>2450.0</v>
      </c>
      <c r="F3" s="11">
        <v>2100.0</v>
      </c>
      <c r="G3" s="11">
        <v>4550.0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>
        <v>2.0</v>
      </c>
      <c r="B4" s="12" t="s">
        <v>129</v>
      </c>
      <c r="C4" s="13" t="s">
        <v>130</v>
      </c>
      <c r="D4" s="13" t="s">
        <v>131</v>
      </c>
      <c r="E4" s="11">
        <v>4500.0</v>
      </c>
      <c r="F4" s="11">
        <v>2100.0</v>
      </c>
      <c r="G4" s="11">
        <v>6600.0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>
        <v>3.0</v>
      </c>
      <c r="B5" s="12" t="s">
        <v>132</v>
      </c>
      <c r="C5" s="13" t="s">
        <v>133</v>
      </c>
      <c r="D5" s="13" t="s">
        <v>134</v>
      </c>
      <c r="E5" s="11">
        <v>4950.0</v>
      </c>
      <c r="F5" s="11">
        <v>4250.0</v>
      </c>
      <c r="G5" s="11">
        <v>9200.0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>
        <v>4.0</v>
      </c>
      <c r="B6" s="12" t="s">
        <v>135</v>
      </c>
      <c r="C6" s="13" t="s">
        <v>136</v>
      </c>
      <c r="D6" s="13" t="s">
        <v>137</v>
      </c>
      <c r="E6" s="11">
        <v>7750.0</v>
      </c>
      <c r="F6" s="11">
        <v>4250.0</v>
      </c>
      <c r="G6" s="11">
        <v>12000.0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>
        <v>5.0</v>
      </c>
      <c r="B7" s="12" t="s">
        <v>138</v>
      </c>
      <c r="C7" s="13" t="s">
        <v>139</v>
      </c>
      <c r="D7" s="13" t="s">
        <v>140</v>
      </c>
      <c r="E7" s="11">
        <v>8700.0</v>
      </c>
      <c r="F7" s="11">
        <v>4700.0</v>
      </c>
      <c r="G7" s="11">
        <v>13400.0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v>6.0</v>
      </c>
      <c r="B8" s="13" t="s">
        <v>141</v>
      </c>
      <c r="C8" s="13" t="s">
        <v>142</v>
      </c>
      <c r="D8" s="13" t="s">
        <v>143</v>
      </c>
      <c r="E8" s="11">
        <v>10200.0</v>
      </c>
      <c r="F8" s="11">
        <v>5500.0</v>
      </c>
      <c r="G8" s="11">
        <v>15700.0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>
        <v>7.0</v>
      </c>
      <c r="B9" s="13" t="s">
        <v>144</v>
      </c>
      <c r="C9" s="13" t="s">
        <v>145</v>
      </c>
      <c r="D9" s="13" t="s">
        <v>146</v>
      </c>
      <c r="E9" s="11">
        <v>17000.0</v>
      </c>
      <c r="F9" s="11">
        <v>17800.0</v>
      </c>
      <c r="G9" s="11">
        <v>34800.0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>
        <v>8.0</v>
      </c>
      <c r="B10" s="13" t="s">
        <v>147</v>
      </c>
      <c r="C10" s="13" t="s">
        <v>148</v>
      </c>
      <c r="D10" s="13" t="s">
        <v>146</v>
      </c>
      <c r="E10" s="11">
        <v>19000.0</v>
      </c>
      <c r="F10" s="11">
        <v>17800.0</v>
      </c>
      <c r="G10" s="11">
        <v>36800.0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v>9.0</v>
      </c>
      <c r="B11" s="13" t="s">
        <v>149</v>
      </c>
      <c r="C11" s="13" t="s">
        <v>150</v>
      </c>
      <c r="D11" s="13" t="s">
        <v>151</v>
      </c>
      <c r="E11" s="11">
        <v>20600.0</v>
      </c>
      <c r="F11" s="11">
        <v>20700.0</v>
      </c>
      <c r="G11" s="11">
        <v>41300.0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>
        <v>10.0</v>
      </c>
      <c r="B12" s="13" t="s">
        <v>152</v>
      </c>
      <c r="C12" s="13" t="s">
        <v>153</v>
      </c>
      <c r="D12" s="13" t="s">
        <v>154</v>
      </c>
      <c r="E12" s="11">
        <v>22150.0</v>
      </c>
      <c r="F12" s="11">
        <v>26900.0</v>
      </c>
      <c r="G12" s="11">
        <v>49050.0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>
        <v>11.0</v>
      </c>
      <c r="B13" s="13" t="s">
        <v>155</v>
      </c>
      <c r="C13" s="13" t="s">
        <v>156</v>
      </c>
      <c r="D13" s="13" t="s">
        <v>157</v>
      </c>
      <c r="E13" s="11">
        <v>33300.0</v>
      </c>
      <c r="F13" s="11">
        <v>32500.0</v>
      </c>
      <c r="G13" s="11">
        <v>65800.0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>
        <v>12.0</v>
      </c>
      <c r="B14" s="13" t="s">
        <v>158</v>
      </c>
      <c r="C14" s="13" t="s">
        <v>159</v>
      </c>
      <c r="D14" s="13" t="s">
        <v>160</v>
      </c>
      <c r="E14" s="11">
        <v>34900.0</v>
      </c>
      <c r="F14" s="11">
        <v>34900.0</v>
      </c>
      <c r="G14" s="11">
        <v>69800.0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>
        <v>13.0</v>
      </c>
      <c r="B15" s="13" t="s">
        <v>161</v>
      </c>
      <c r="C15" s="13" t="s">
        <v>162</v>
      </c>
      <c r="D15" s="13" t="s">
        <v>160</v>
      </c>
      <c r="E15" s="11">
        <v>39980.0</v>
      </c>
      <c r="F15" s="11">
        <v>34900.0</v>
      </c>
      <c r="G15" s="11">
        <v>74880.0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>
        <v>14.0</v>
      </c>
      <c r="B16" s="13" t="s">
        <v>163</v>
      </c>
      <c r="C16" s="13" t="s">
        <v>162</v>
      </c>
      <c r="D16" s="13" t="s">
        <v>160</v>
      </c>
      <c r="E16" s="11">
        <v>39980.0</v>
      </c>
      <c r="F16" s="11">
        <v>34900.0</v>
      </c>
      <c r="G16" s="11">
        <v>74880.0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0.88"/>
    <col customWidth="1" min="3" max="26" width="8.63"/>
  </cols>
  <sheetData>
    <row r="1">
      <c r="A1" s="15" t="s">
        <v>164</v>
      </c>
      <c r="B1" s="15" t="s">
        <v>165</v>
      </c>
    </row>
    <row r="2">
      <c r="A2" s="7" t="s">
        <v>166</v>
      </c>
      <c r="B2" s="7" t="s">
        <v>167</v>
      </c>
    </row>
    <row r="3">
      <c r="A3" s="7" t="s">
        <v>168</v>
      </c>
      <c r="B3" s="7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